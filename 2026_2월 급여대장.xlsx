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nko\Desktop\our\"/>
    </mc:Choice>
  </mc:AlternateContent>
  <bookViews>
    <workbookView xWindow="-120" yWindow="-120" windowWidth="29040" windowHeight="15840" tabRatio="859"/>
  </bookViews>
  <sheets>
    <sheet name="근무표(입력)" sheetId="1" r:id="rId1"/>
    <sheet name="근무표(개인별종합)" sheetId="5" r:id="rId2"/>
    <sheet name="주휴수당 상세 검증" sheetId="2" r:id="rId3"/>
    <sheet name="급여대장" sheetId="3" r:id="rId4"/>
    <sheet name="급여명세서" sheetId="6" r:id="rId5"/>
  </sheets>
  <definedNames>
    <definedName name="_xlnm.Print_Area" localSheetId="3">급여대장!$A$1:$M$23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6" l="1"/>
  <c r="V7" i="1" l="1"/>
  <c r="R7" i="1"/>
  <c r="N7" i="1"/>
  <c r="J7" i="1"/>
  <c r="F7" i="1"/>
  <c r="V6" i="1"/>
  <c r="R6" i="1"/>
  <c r="N6" i="1"/>
  <c r="J6" i="1"/>
  <c r="F6" i="1"/>
  <c r="V5" i="1"/>
  <c r="R5" i="1"/>
  <c r="N5" i="1"/>
  <c r="J5" i="1"/>
  <c r="F5" i="1"/>
  <c r="V4" i="1"/>
  <c r="R4" i="1"/>
  <c r="N4" i="1"/>
  <c r="J4" i="1"/>
  <c r="F4" i="1"/>
  <c r="V3" i="1"/>
  <c r="R3" i="1"/>
  <c r="N3" i="1"/>
  <c r="J3" i="1"/>
  <c r="Z6" i="1" s="1"/>
  <c r="F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3" i="1"/>
  <c r="Z4" i="1"/>
  <c r="Z5" i="1"/>
  <c r="Z7" i="1"/>
  <c r="Z8" i="1"/>
  <c r="Z9" i="1"/>
  <c r="Z10" i="1"/>
  <c r="Z11" i="1"/>
  <c r="Z12" i="1"/>
  <c r="Z13" i="1"/>
  <c r="Z14" i="1"/>
  <c r="Z15" i="1"/>
  <c r="Z16" i="1"/>
  <c r="Z3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R33" i="1" l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B17" i="3" l="1"/>
  <c r="C17" i="3" s="1"/>
  <c r="B16" i="3"/>
  <c r="C16" i="3" s="1"/>
  <c r="B15" i="3"/>
  <c r="C15" i="3" s="1"/>
  <c r="B14" i="3"/>
  <c r="B13" i="3"/>
  <c r="V18" i="6" s="1"/>
  <c r="B12" i="3"/>
  <c r="Q18" i="6" s="1"/>
  <c r="B11" i="3"/>
  <c r="B10" i="3"/>
  <c r="G18" i="6" s="1"/>
  <c r="B9" i="3"/>
  <c r="B18" i="6" s="1"/>
  <c r="B8" i="3"/>
  <c r="V2" i="6" s="1"/>
  <c r="B7" i="3"/>
  <c r="Q2" i="6" s="1"/>
  <c r="B6" i="3"/>
  <c r="L2" i="6" s="1"/>
  <c r="B5" i="3"/>
  <c r="G2" i="6" s="1"/>
  <c r="B4" i="3"/>
  <c r="B2" i="6" s="1"/>
  <c r="L18" i="6" l="1"/>
  <c r="E17" i="3"/>
  <c r="K17" i="3"/>
  <c r="H17" i="3"/>
  <c r="I17" i="3"/>
  <c r="J17" i="3" s="1"/>
  <c r="E16" i="3"/>
  <c r="K16" i="3"/>
  <c r="I16" i="3"/>
  <c r="J16" i="3" s="1"/>
  <c r="H16" i="3"/>
  <c r="E15" i="3"/>
  <c r="K15" i="3"/>
  <c r="I15" i="3"/>
  <c r="J15" i="3" s="1"/>
  <c r="H15" i="3"/>
  <c r="C14" i="3"/>
  <c r="L17" i="3" l="1"/>
  <c r="L16" i="3"/>
  <c r="L15" i="3"/>
  <c r="I14" i="3"/>
  <c r="J14" i="3" s="1"/>
  <c r="H14" i="3"/>
  <c r="E14" i="3"/>
  <c r="K14" i="3"/>
  <c r="L14" i="3" l="1"/>
  <c r="A107" i="2" l="1"/>
  <c r="A108" i="2" s="1"/>
  <c r="A99" i="2"/>
  <c r="A100" i="2" s="1"/>
  <c r="B112" i="2"/>
  <c r="B104" i="2"/>
  <c r="B111" i="2"/>
  <c r="B103" i="2"/>
  <c r="B110" i="2"/>
  <c r="B102" i="2"/>
  <c r="B109" i="2"/>
  <c r="B101" i="2"/>
  <c r="B108" i="2"/>
  <c r="B100" i="2"/>
  <c r="B107" i="2"/>
  <c r="B99" i="2"/>
  <c r="A91" i="2"/>
  <c r="A92" i="2" s="1"/>
  <c r="A93" i="2" s="1"/>
  <c r="A83" i="2"/>
  <c r="A84" i="2" s="1"/>
  <c r="A85" i="2" s="1"/>
  <c r="A75" i="2"/>
  <c r="A67" i="2"/>
  <c r="B96" i="2"/>
  <c r="B88" i="2"/>
  <c r="B80" i="2"/>
  <c r="B72" i="2"/>
  <c r="B95" i="2"/>
  <c r="B87" i="2"/>
  <c r="B79" i="2"/>
  <c r="B71" i="2"/>
  <c r="B94" i="2"/>
  <c r="B86" i="2"/>
  <c r="B78" i="2"/>
  <c r="B70" i="2"/>
  <c r="B93" i="2"/>
  <c r="B85" i="2"/>
  <c r="B77" i="2"/>
  <c r="B69" i="2"/>
  <c r="B92" i="2"/>
  <c r="B84" i="2"/>
  <c r="B76" i="2"/>
  <c r="B68" i="2"/>
  <c r="B91" i="2"/>
  <c r="B83" i="2"/>
  <c r="C83" i="2" s="1"/>
  <c r="D83" i="2" s="1"/>
  <c r="E83" i="2" s="1"/>
  <c r="B75" i="2"/>
  <c r="B67" i="2"/>
  <c r="A59" i="2"/>
  <c r="A60" i="2" s="1"/>
  <c r="A61" i="2" s="1"/>
  <c r="A62" i="2" s="1"/>
  <c r="A63" i="2" s="1"/>
  <c r="A64" i="2" s="1"/>
  <c r="B64" i="2"/>
  <c r="B63" i="2"/>
  <c r="B62" i="2"/>
  <c r="B61" i="2"/>
  <c r="B60" i="2"/>
  <c r="B59" i="2"/>
  <c r="Y36" i="5"/>
  <c r="U36" i="5"/>
  <c r="Q36" i="5"/>
  <c r="M36" i="5"/>
  <c r="I36" i="5"/>
  <c r="E36" i="5"/>
  <c r="A3" i="5"/>
  <c r="A4" i="5" s="1"/>
  <c r="A51" i="2"/>
  <c r="A52" i="2" s="1"/>
  <c r="A53" i="2" s="1"/>
  <c r="A54" i="2" s="1"/>
  <c r="A55" i="2" s="1"/>
  <c r="A56" i="2" s="1"/>
  <c r="A43" i="2"/>
  <c r="A44" i="2" s="1"/>
  <c r="A45" i="2" s="1"/>
  <c r="A46" i="2" s="1"/>
  <c r="A47" i="2" s="1"/>
  <c r="A48" i="2" s="1"/>
  <c r="A35" i="2"/>
  <c r="A36" i="2" s="1"/>
  <c r="A37" i="2" s="1"/>
  <c r="A38" i="2" s="1"/>
  <c r="A39" i="2" s="1"/>
  <c r="A40" i="2" s="1"/>
  <c r="A26" i="2"/>
  <c r="A27" i="2" s="1"/>
  <c r="A28" i="2" s="1"/>
  <c r="A29" i="2" s="1"/>
  <c r="A30" i="2" s="1"/>
  <c r="A31" i="2" s="1"/>
  <c r="A18" i="2"/>
  <c r="A19" i="2" s="1"/>
  <c r="A20" i="2" s="1"/>
  <c r="A21" i="2" s="1"/>
  <c r="A22" i="2" s="1"/>
  <c r="A23" i="2" s="1"/>
  <c r="A10" i="2"/>
  <c r="A11" i="2" s="1"/>
  <c r="A12" i="2" s="1"/>
  <c r="A13" i="2" s="1"/>
  <c r="A14" i="2" s="1"/>
  <c r="A15" i="2" s="1"/>
  <c r="A2" i="2"/>
  <c r="A36" i="5"/>
  <c r="Y1" i="5"/>
  <c r="U1" i="5"/>
  <c r="Q1" i="5"/>
  <c r="M1" i="5"/>
  <c r="I1" i="5"/>
  <c r="E1" i="5"/>
  <c r="A1" i="5"/>
  <c r="A3" i="2" l="1"/>
  <c r="A4" i="2" s="1"/>
  <c r="A5" i="2" s="1"/>
  <c r="A6" i="2" s="1"/>
  <c r="A7" i="2" s="1"/>
  <c r="C107" i="2"/>
  <c r="D107" i="2" s="1"/>
  <c r="E107" i="2" s="1"/>
  <c r="C91" i="2"/>
  <c r="D91" i="2" s="1"/>
  <c r="E91" i="2" s="1"/>
  <c r="A68" i="2"/>
  <c r="A69" i="2" s="1"/>
  <c r="C99" i="2"/>
  <c r="D99" i="2" s="1"/>
  <c r="E99" i="2" s="1"/>
  <c r="C100" i="2"/>
  <c r="D100" i="2" s="1"/>
  <c r="E100" i="2" s="1"/>
  <c r="C75" i="2"/>
  <c r="D75" i="2" s="1"/>
  <c r="E75" i="2" s="1"/>
  <c r="C64" i="2"/>
  <c r="D64" i="2" s="1"/>
  <c r="E64" i="2" s="1"/>
  <c r="A109" i="2"/>
  <c r="C108" i="2"/>
  <c r="D108" i="2" s="1"/>
  <c r="E108" i="2" s="1"/>
  <c r="C59" i="2"/>
  <c r="D59" i="2" s="1"/>
  <c r="E59" i="2" s="1"/>
  <c r="A101" i="2"/>
  <c r="C85" i="2"/>
  <c r="D85" i="2" s="1"/>
  <c r="E85" i="2" s="1"/>
  <c r="A86" i="2"/>
  <c r="A94" i="2"/>
  <c r="C93" i="2"/>
  <c r="D93" i="2" s="1"/>
  <c r="E93" i="2" s="1"/>
  <c r="A76" i="2"/>
  <c r="C84" i="2"/>
  <c r="D84" i="2" s="1"/>
  <c r="E84" i="2" s="1"/>
  <c r="C92" i="2"/>
  <c r="D92" i="2" s="1"/>
  <c r="E92" i="2" s="1"/>
  <c r="I3" i="5"/>
  <c r="I4" i="5" s="1"/>
  <c r="J4" i="5" s="1"/>
  <c r="M3" i="5"/>
  <c r="E3" i="5"/>
  <c r="E4" i="5" s="1"/>
  <c r="F4" i="5" s="1"/>
  <c r="U3" i="5"/>
  <c r="V3" i="5" s="1"/>
  <c r="Y3" i="5"/>
  <c r="Z3" i="5" s="1"/>
  <c r="Q3" i="5"/>
  <c r="Q4" i="5" s="1"/>
  <c r="R4" i="5" s="1"/>
  <c r="A38" i="5"/>
  <c r="B38" i="5" s="1"/>
  <c r="B4" i="5"/>
  <c r="B3" i="5"/>
  <c r="A5" i="5"/>
  <c r="C2" i="3"/>
  <c r="A1" i="3"/>
  <c r="B56" i="2"/>
  <c r="B55" i="2"/>
  <c r="B54" i="2"/>
  <c r="B53" i="2"/>
  <c r="B52" i="2"/>
  <c r="B51" i="2"/>
  <c r="B48" i="2"/>
  <c r="B47" i="2"/>
  <c r="B46" i="2"/>
  <c r="B45" i="2"/>
  <c r="B44" i="2"/>
  <c r="B43" i="2"/>
  <c r="B40" i="2"/>
  <c r="B39" i="2"/>
  <c r="B38" i="2"/>
  <c r="B37" i="2"/>
  <c r="B36" i="2"/>
  <c r="B35" i="2"/>
  <c r="B31" i="2"/>
  <c r="B30" i="2"/>
  <c r="B29" i="2"/>
  <c r="B28" i="2"/>
  <c r="B27" i="2"/>
  <c r="B26" i="2"/>
  <c r="B23" i="2"/>
  <c r="B22" i="2"/>
  <c r="B21" i="2"/>
  <c r="B20" i="2"/>
  <c r="B19" i="2"/>
  <c r="B18" i="2"/>
  <c r="B15" i="2"/>
  <c r="B14" i="2"/>
  <c r="B13" i="2"/>
  <c r="B12" i="2"/>
  <c r="B11" i="2"/>
  <c r="B10" i="2"/>
  <c r="B7" i="2"/>
  <c r="B6" i="2"/>
  <c r="B5" i="2"/>
  <c r="B4" i="2"/>
  <c r="B3" i="2"/>
  <c r="B2" i="2"/>
  <c r="C62" i="2"/>
  <c r="D62" i="2" s="1"/>
  <c r="E62" i="2" s="1"/>
  <c r="C67" i="2"/>
  <c r="D67" i="2" s="1"/>
  <c r="E67" i="2" s="1"/>
  <c r="A4" i="1"/>
  <c r="AN4" i="1" s="1"/>
  <c r="AN3" i="1"/>
  <c r="B3" i="1"/>
  <c r="C10" i="3" l="1"/>
  <c r="E10" i="3" s="1"/>
  <c r="G22" i="6" s="1"/>
  <c r="C60" i="2"/>
  <c r="D60" i="2" s="1"/>
  <c r="E60" i="2" s="1"/>
  <c r="C12" i="3"/>
  <c r="C63" i="2"/>
  <c r="D63" i="2" s="1"/>
  <c r="E63" i="2" s="1"/>
  <c r="C13" i="3"/>
  <c r="C11" i="3"/>
  <c r="C61" i="2"/>
  <c r="D61" i="2" s="1"/>
  <c r="E61" i="2" s="1"/>
  <c r="A39" i="5"/>
  <c r="A40" i="5" s="1"/>
  <c r="B40" i="5" s="1"/>
  <c r="C68" i="2"/>
  <c r="D68" i="2" s="1"/>
  <c r="E68" i="2" s="1"/>
  <c r="R3" i="5"/>
  <c r="Q5" i="5"/>
  <c r="Q6" i="5" s="1"/>
  <c r="Q38" i="5"/>
  <c r="R38" i="5" s="1"/>
  <c r="A102" i="2"/>
  <c r="C101" i="2"/>
  <c r="D101" i="2" s="1"/>
  <c r="E101" i="2" s="1"/>
  <c r="C109" i="2"/>
  <c r="D109" i="2" s="1"/>
  <c r="E109" i="2" s="1"/>
  <c r="A110" i="2"/>
  <c r="A77" i="2"/>
  <c r="C76" i="2"/>
  <c r="D76" i="2" s="1"/>
  <c r="E76" i="2" s="1"/>
  <c r="A70" i="2"/>
  <c r="C69" i="2"/>
  <c r="D69" i="2" s="1"/>
  <c r="E69" i="2" s="1"/>
  <c r="A95" i="2"/>
  <c r="C94" i="2"/>
  <c r="D94" i="2" s="1"/>
  <c r="E94" i="2" s="1"/>
  <c r="A87" i="2"/>
  <c r="C86" i="2"/>
  <c r="D86" i="2" s="1"/>
  <c r="E86" i="2" s="1"/>
  <c r="I5" i="5"/>
  <c r="I6" i="5" s="1"/>
  <c r="F3" i="5"/>
  <c r="I38" i="5"/>
  <c r="J3" i="5"/>
  <c r="U38" i="5"/>
  <c r="V38" i="5" s="1"/>
  <c r="U4" i="5"/>
  <c r="U5" i="5" s="1"/>
  <c r="V5" i="5" s="1"/>
  <c r="E5" i="5"/>
  <c r="E6" i="5" s="1"/>
  <c r="Y4" i="5"/>
  <c r="Y38" i="5"/>
  <c r="M38" i="5"/>
  <c r="M4" i="5"/>
  <c r="N3" i="5"/>
  <c r="E38" i="5"/>
  <c r="G38" i="5" s="1"/>
  <c r="C38" i="5"/>
  <c r="W38" i="5"/>
  <c r="Q39" i="5"/>
  <c r="B4" i="1"/>
  <c r="C6" i="3"/>
  <c r="C5" i="3"/>
  <c r="C9" i="3"/>
  <c r="A5" i="1"/>
  <c r="B5" i="1" s="1"/>
  <c r="C8" i="3"/>
  <c r="C7" i="3"/>
  <c r="B5" i="5"/>
  <c r="A6" i="5"/>
  <c r="C4" i="3"/>
  <c r="R5" i="5" l="1"/>
  <c r="E39" i="5"/>
  <c r="U39" i="5"/>
  <c r="E12" i="3"/>
  <c r="Q22" i="6" s="1"/>
  <c r="E13" i="3"/>
  <c r="V22" i="6" s="1"/>
  <c r="E11" i="3"/>
  <c r="L22" i="6" s="1"/>
  <c r="B39" i="5"/>
  <c r="F38" i="5"/>
  <c r="C39" i="5"/>
  <c r="F5" i="5"/>
  <c r="A6" i="1"/>
  <c r="B6" i="1" s="1"/>
  <c r="E9" i="3"/>
  <c r="B22" i="6" s="1"/>
  <c r="E8" i="3"/>
  <c r="V6" i="6" s="1"/>
  <c r="K8" i="3"/>
  <c r="X9" i="6" s="1"/>
  <c r="I8" i="3"/>
  <c r="H8" i="3"/>
  <c r="X6" i="6" s="1"/>
  <c r="E7" i="3"/>
  <c r="Q6" i="6" s="1"/>
  <c r="K7" i="3"/>
  <c r="S9" i="6" s="1"/>
  <c r="H7" i="3"/>
  <c r="S6" i="6" s="1"/>
  <c r="I7" i="3"/>
  <c r="E6" i="3"/>
  <c r="L6" i="6" s="1"/>
  <c r="I6" i="3"/>
  <c r="H6" i="3"/>
  <c r="N6" i="6" s="1"/>
  <c r="K6" i="3"/>
  <c r="N9" i="6" s="1"/>
  <c r="E5" i="3"/>
  <c r="G6" i="6" s="1"/>
  <c r="E4" i="3"/>
  <c r="B6" i="6" s="1"/>
  <c r="V4" i="5"/>
  <c r="S38" i="5"/>
  <c r="U6" i="5"/>
  <c r="U7" i="5" s="1"/>
  <c r="A111" i="2"/>
  <c r="C110" i="2"/>
  <c r="D110" i="2" s="1"/>
  <c r="E110" i="2" s="1"/>
  <c r="C102" i="2"/>
  <c r="D102" i="2" s="1"/>
  <c r="E102" i="2" s="1"/>
  <c r="A103" i="2"/>
  <c r="A88" i="2"/>
  <c r="C88" i="2" s="1"/>
  <c r="D88" i="2" s="1"/>
  <c r="E88" i="2" s="1"/>
  <c r="C87" i="2"/>
  <c r="D87" i="2" s="1"/>
  <c r="E87" i="2" s="1"/>
  <c r="A96" i="2"/>
  <c r="C96" i="2" s="1"/>
  <c r="D96" i="2" s="1"/>
  <c r="E96" i="2" s="1"/>
  <c r="C95" i="2"/>
  <c r="D95" i="2" s="1"/>
  <c r="E95" i="2" s="1"/>
  <c r="A71" i="2"/>
  <c r="C70" i="2"/>
  <c r="D70" i="2" s="1"/>
  <c r="E70" i="2" s="1"/>
  <c r="C77" i="2"/>
  <c r="D77" i="2" s="1"/>
  <c r="E77" i="2" s="1"/>
  <c r="A78" i="2"/>
  <c r="J5" i="5"/>
  <c r="M5" i="5"/>
  <c r="N4" i="5"/>
  <c r="I39" i="5"/>
  <c r="J38" i="5"/>
  <c r="K38" i="5"/>
  <c r="Z4" i="5"/>
  <c r="Y5" i="5"/>
  <c r="M39" i="5"/>
  <c r="N38" i="5"/>
  <c r="O38" i="5"/>
  <c r="Z38" i="5"/>
  <c r="Y39" i="5"/>
  <c r="AA38" i="5"/>
  <c r="S39" i="5"/>
  <c r="R39" i="5"/>
  <c r="Q40" i="5"/>
  <c r="A41" i="5"/>
  <c r="C40" i="5"/>
  <c r="U40" i="5"/>
  <c r="W39" i="5"/>
  <c r="V39" i="5"/>
  <c r="F39" i="5"/>
  <c r="G39" i="5"/>
  <c r="E40" i="5"/>
  <c r="Q7" i="5"/>
  <c r="R6" i="5"/>
  <c r="AN5" i="1"/>
  <c r="I7" i="5"/>
  <c r="J6" i="5"/>
  <c r="E7" i="5"/>
  <c r="F6" i="5"/>
  <c r="A7" i="5"/>
  <c r="B6" i="5"/>
  <c r="AN6" i="1" l="1"/>
  <c r="A7" i="1"/>
  <c r="B7" i="1" s="1"/>
  <c r="V6" i="5"/>
  <c r="J8" i="3"/>
  <c r="X8" i="6" s="1"/>
  <c r="X7" i="6"/>
  <c r="J7" i="3"/>
  <c r="S8" i="6" s="1"/>
  <c r="S7" i="6"/>
  <c r="J6" i="3"/>
  <c r="N8" i="6" s="1"/>
  <c r="N7" i="6"/>
  <c r="A104" i="2"/>
  <c r="C104" i="2" s="1"/>
  <c r="D104" i="2" s="1"/>
  <c r="E104" i="2" s="1"/>
  <c r="C103" i="2"/>
  <c r="D103" i="2" s="1"/>
  <c r="E103" i="2" s="1"/>
  <c r="C111" i="2"/>
  <c r="D111" i="2" s="1"/>
  <c r="E111" i="2" s="1"/>
  <c r="A112" i="2"/>
  <c r="C112" i="2" s="1"/>
  <c r="D112" i="2" s="1"/>
  <c r="E112" i="2" s="1"/>
  <c r="A79" i="2"/>
  <c r="C78" i="2"/>
  <c r="D78" i="2" s="1"/>
  <c r="E78" i="2" s="1"/>
  <c r="A72" i="2"/>
  <c r="C72" i="2" s="1"/>
  <c r="D72" i="2" s="1"/>
  <c r="E72" i="2" s="1"/>
  <c r="C71" i="2"/>
  <c r="D71" i="2" s="1"/>
  <c r="E71" i="2" s="1"/>
  <c r="Y6" i="5"/>
  <c r="Z5" i="5"/>
  <c r="Z39" i="5"/>
  <c r="AA39" i="5"/>
  <c r="Y40" i="5"/>
  <c r="I40" i="5"/>
  <c r="K39" i="5"/>
  <c r="J39" i="5"/>
  <c r="M6" i="5"/>
  <c r="N5" i="5"/>
  <c r="O39" i="5"/>
  <c r="N39" i="5"/>
  <c r="M40" i="5"/>
  <c r="C41" i="5"/>
  <c r="B41" i="5"/>
  <c r="A42" i="5"/>
  <c r="G40" i="5"/>
  <c r="E41" i="5"/>
  <c r="F40" i="5"/>
  <c r="S40" i="5"/>
  <c r="Q41" i="5"/>
  <c r="R40" i="5"/>
  <c r="W40" i="5"/>
  <c r="V40" i="5"/>
  <c r="U41" i="5"/>
  <c r="V7" i="5"/>
  <c r="U8" i="5"/>
  <c r="Q8" i="5"/>
  <c r="R7" i="5"/>
  <c r="I8" i="5"/>
  <c r="J7" i="5"/>
  <c r="E8" i="5"/>
  <c r="F7" i="5"/>
  <c r="B7" i="5"/>
  <c r="A8" i="5"/>
  <c r="AN7" i="1"/>
  <c r="A8" i="1"/>
  <c r="L7" i="3" l="1"/>
  <c r="S10" i="6" s="1"/>
  <c r="L6" i="3"/>
  <c r="N10" i="6" s="1"/>
  <c r="L8" i="3"/>
  <c r="X10" i="6" s="1"/>
  <c r="F14" i="3"/>
  <c r="G14" i="3" s="1"/>
  <c r="M14" i="3" s="1"/>
  <c r="C79" i="2"/>
  <c r="D79" i="2" s="1"/>
  <c r="E79" i="2" s="1"/>
  <c r="A80" i="2"/>
  <c r="C80" i="2" s="1"/>
  <c r="D80" i="2" s="1"/>
  <c r="E80" i="2" s="1"/>
  <c r="I41" i="5"/>
  <c r="K40" i="5"/>
  <c r="J40" i="5"/>
  <c r="O40" i="5"/>
  <c r="N40" i="5"/>
  <c r="M41" i="5"/>
  <c r="Z40" i="5"/>
  <c r="Y41" i="5"/>
  <c r="AA40" i="5"/>
  <c r="M7" i="5"/>
  <c r="N6" i="5"/>
  <c r="Z6" i="5"/>
  <c r="Y7" i="5"/>
  <c r="S41" i="5"/>
  <c r="Q42" i="5"/>
  <c r="R41" i="5"/>
  <c r="C42" i="5"/>
  <c r="A43" i="5"/>
  <c r="B42" i="5"/>
  <c r="W41" i="5"/>
  <c r="V41" i="5"/>
  <c r="U42" i="5"/>
  <c r="G41" i="5"/>
  <c r="E42" i="5"/>
  <c r="F41" i="5"/>
  <c r="U9" i="5"/>
  <c r="V8" i="5"/>
  <c r="Q9" i="5"/>
  <c r="R8" i="5"/>
  <c r="I9" i="5"/>
  <c r="J8" i="5"/>
  <c r="E9" i="5"/>
  <c r="F8" i="5"/>
  <c r="A9" i="5"/>
  <c r="B8" i="5"/>
  <c r="AN8" i="1"/>
  <c r="B8" i="1"/>
  <c r="A9" i="1"/>
  <c r="F12" i="3" l="1"/>
  <c r="F15" i="3"/>
  <c r="G15" i="3" s="1"/>
  <c r="M15" i="3" s="1"/>
  <c r="F11" i="3"/>
  <c r="F16" i="3"/>
  <c r="G16" i="3" s="1"/>
  <c r="M16" i="3" s="1"/>
  <c r="F13" i="3"/>
  <c r="F17" i="3"/>
  <c r="G17" i="3" s="1"/>
  <c r="M17" i="3" s="1"/>
  <c r="Z41" i="5"/>
  <c r="AA41" i="5"/>
  <c r="Y42" i="5"/>
  <c r="M8" i="5"/>
  <c r="N7" i="5"/>
  <c r="M42" i="5"/>
  <c r="O41" i="5"/>
  <c r="N41" i="5"/>
  <c r="Y8" i="5"/>
  <c r="Z7" i="5"/>
  <c r="I42" i="5"/>
  <c r="K41" i="5"/>
  <c r="J41" i="5"/>
  <c r="W42" i="5"/>
  <c r="V42" i="5"/>
  <c r="U43" i="5"/>
  <c r="S42" i="5"/>
  <c r="R42" i="5"/>
  <c r="Q43" i="5"/>
  <c r="G42" i="5"/>
  <c r="F42" i="5"/>
  <c r="E43" i="5"/>
  <c r="C43" i="5"/>
  <c r="B43" i="5"/>
  <c r="A44" i="5"/>
  <c r="V9" i="5"/>
  <c r="U10" i="5"/>
  <c r="R9" i="5"/>
  <c r="Q10" i="5"/>
  <c r="J9" i="5"/>
  <c r="I10" i="5"/>
  <c r="F9" i="5"/>
  <c r="E10" i="5"/>
  <c r="A10" i="5"/>
  <c r="B9" i="5"/>
  <c r="A10" i="1"/>
  <c r="AN9" i="1"/>
  <c r="B9" i="1"/>
  <c r="G13" i="3" l="1"/>
  <c r="V23" i="6"/>
  <c r="G11" i="3"/>
  <c r="L23" i="6"/>
  <c r="G12" i="3"/>
  <c r="Q23" i="6"/>
  <c r="M43" i="5"/>
  <c r="N42" i="5"/>
  <c r="O42" i="5"/>
  <c r="N8" i="5"/>
  <c r="M9" i="5"/>
  <c r="J42" i="5"/>
  <c r="I43" i="5"/>
  <c r="K42" i="5"/>
  <c r="AA42" i="5"/>
  <c r="Y43" i="5"/>
  <c r="Z42" i="5"/>
  <c r="Y9" i="5"/>
  <c r="Z8" i="5"/>
  <c r="C44" i="5"/>
  <c r="A45" i="5"/>
  <c r="B44" i="5"/>
  <c r="S43" i="5"/>
  <c r="R43" i="5"/>
  <c r="Q44" i="5"/>
  <c r="G43" i="5"/>
  <c r="E44" i="5"/>
  <c r="F43" i="5"/>
  <c r="W43" i="5"/>
  <c r="U44" i="5"/>
  <c r="V43" i="5"/>
  <c r="U11" i="5"/>
  <c r="V10" i="5"/>
  <c r="Q11" i="5"/>
  <c r="R10" i="5"/>
  <c r="I11" i="5"/>
  <c r="J10" i="5"/>
  <c r="F10" i="5"/>
  <c r="E11" i="5"/>
  <c r="A11" i="5"/>
  <c r="B10" i="5"/>
  <c r="AN10" i="1"/>
  <c r="A11" i="1"/>
  <c r="B10" i="1"/>
  <c r="K12" i="3" l="1"/>
  <c r="S25" i="6" s="1"/>
  <c r="I12" i="3"/>
  <c r="H12" i="3"/>
  <c r="K13" i="3"/>
  <c r="X25" i="6" s="1"/>
  <c r="I13" i="3"/>
  <c r="H13" i="3"/>
  <c r="H11" i="3"/>
  <c r="K11" i="3"/>
  <c r="N25" i="6" s="1"/>
  <c r="I11" i="3"/>
  <c r="Q26" i="6"/>
  <c r="L26" i="6"/>
  <c r="V26" i="6"/>
  <c r="K43" i="5"/>
  <c r="J43" i="5"/>
  <c r="I44" i="5"/>
  <c r="N9" i="5"/>
  <c r="M10" i="5"/>
  <c r="Y10" i="5"/>
  <c r="Z9" i="5"/>
  <c r="AA43" i="5"/>
  <c r="Z43" i="5"/>
  <c r="Y44" i="5"/>
  <c r="O43" i="5"/>
  <c r="M44" i="5"/>
  <c r="N43" i="5"/>
  <c r="W44" i="5"/>
  <c r="U45" i="5"/>
  <c r="V44" i="5"/>
  <c r="S44" i="5"/>
  <c r="R44" i="5"/>
  <c r="Q45" i="5"/>
  <c r="G44" i="5"/>
  <c r="E45" i="5"/>
  <c r="F44" i="5"/>
  <c r="C45" i="5"/>
  <c r="B45" i="5"/>
  <c r="A46" i="5"/>
  <c r="V11" i="5"/>
  <c r="U12" i="5"/>
  <c r="Q12" i="5"/>
  <c r="R11" i="5"/>
  <c r="I12" i="5"/>
  <c r="J11" i="5"/>
  <c r="E12" i="5"/>
  <c r="F11" i="5"/>
  <c r="B11" i="5"/>
  <c r="A12" i="5"/>
  <c r="B11" i="1"/>
  <c r="A12" i="1"/>
  <c r="AN11" i="1"/>
  <c r="S22" i="6" l="1"/>
  <c r="S23" i="6"/>
  <c r="J12" i="3"/>
  <c r="S24" i="6" s="1"/>
  <c r="X22" i="6"/>
  <c r="J13" i="3"/>
  <c r="X24" i="6" s="1"/>
  <c r="X23" i="6"/>
  <c r="N23" i="6"/>
  <c r="J11" i="3"/>
  <c r="N24" i="6" s="1"/>
  <c r="N22" i="6"/>
  <c r="Y11" i="5"/>
  <c r="Z10" i="5"/>
  <c r="M11" i="5"/>
  <c r="N10" i="5"/>
  <c r="O44" i="5"/>
  <c r="N44" i="5"/>
  <c r="M45" i="5"/>
  <c r="K44" i="5"/>
  <c r="I45" i="5"/>
  <c r="J44" i="5"/>
  <c r="AA44" i="5"/>
  <c r="Y45" i="5"/>
  <c r="Z44" i="5"/>
  <c r="G45" i="5"/>
  <c r="F45" i="5"/>
  <c r="E46" i="5"/>
  <c r="S45" i="5"/>
  <c r="Q46" i="5"/>
  <c r="R45" i="5"/>
  <c r="C46" i="5"/>
  <c r="A47" i="5"/>
  <c r="B46" i="5"/>
  <c r="W45" i="5"/>
  <c r="V45" i="5"/>
  <c r="U46" i="5"/>
  <c r="V12" i="5"/>
  <c r="U13" i="5"/>
  <c r="R12" i="5"/>
  <c r="Q13" i="5"/>
  <c r="J12" i="5"/>
  <c r="I13" i="5"/>
  <c r="F12" i="5"/>
  <c r="E13" i="5"/>
  <c r="A13" i="5"/>
  <c r="B12" i="5"/>
  <c r="B12" i="1"/>
  <c r="A13" i="1"/>
  <c r="AN12" i="1"/>
  <c r="L12" i="3" l="1"/>
  <c r="L13" i="3"/>
  <c r="L11" i="3"/>
  <c r="M11" i="3" s="1"/>
  <c r="L28" i="6" s="1"/>
  <c r="O45" i="5"/>
  <c r="N45" i="5"/>
  <c r="M46" i="5"/>
  <c r="Y46" i="5"/>
  <c r="Z45" i="5"/>
  <c r="AA45" i="5"/>
  <c r="N11" i="5"/>
  <c r="M12" i="5"/>
  <c r="I46" i="5"/>
  <c r="K45" i="5"/>
  <c r="J45" i="5"/>
  <c r="Y12" i="5"/>
  <c r="Z11" i="5"/>
  <c r="C47" i="5"/>
  <c r="B47" i="5"/>
  <c r="A48" i="5"/>
  <c r="S46" i="5"/>
  <c r="Q47" i="5"/>
  <c r="R46" i="5"/>
  <c r="G46" i="5"/>
  <c r="E47" i="5"/>
  <c r="F46" i="5"/>
  <c r="W46" i="5"/>
  <c r="U47" i="5"/>
  <c r="V46" i="5"/>
  <c r="U14" i="5"/>
  <c r="V13" i="5"/>
  <c r="Q14" i="5"/>
  <c r="R13" i="5"/>
  <c r="I14" i="5"/>
  <c r="J13" i="5"/>
  <c r="E14" i="5"/>
  <c r="F13" i="5"/>
  <c r="B13" i="5"/>
  <c r="A14" i="5"/>
  <c r="AN13" i="1"/>
  <c r="B13" i="1"/>
  <c r="A14" i="1"/>
  <c r="S26" i="6" l="1"/>
  <c r="M12" i="3"/>
  <c r="Q28" i="6" s="1"/>
  <c r="N26" i="6"/>
  <c r="X26" i="6"/>
  <c r="M13" i="3"/>
  <c r="V28" i="6" s="1"/>
  <c r="K46" i="5"/>
  <c r="I47" i="5"/>
  <c r="J46" i="5"/>
  <c r="N12" i="5"/>
  <c r="M13" i="5"/>
  <c r="Y13" i="5"/>
  <c r="Z12" i="5"/>
  <c r="AA46" i="5"/>
  <c r="Z46" i="5"/>
  <c r="Y47" i="5"/>
  <c r="O46" i="5"/>
  <c r="N46" i="5"/>
  <c r="M47" i="5"/>
  <c r="G47" i="5"/>
  <c r="F47" i="5"/>
  <c r="E48" i="5"/>
  <c r="S47" i="5"/>
  <c r="R47" i="5"/>
  <c r="Q48" i="5"/>
  <c r="C48" i="5"/>
  <c r="B48" i="5"/>
  <c r="A49" i="5"/>
  <c r="W47" i="5"/>
  <c r="U48" i="5"/>
  <c r="V47" i="5"/>
  <c r="V14" i="5"/>
  <c r="U15" i="5"/>
  <c r="Q15" i="5"/>
  <c r="R14" i="5"/>
  <c r="I15" i="5"/>
  <c r="J14" i="5"/>
  <c r="E15" i="5"/>
  <c r="F14" i="5"/>
  <c r="A15" i="5"/>
  <c r="B14" i="5"/>
  <c r="A15" i="1"/>
  <c r="B14" i="1"/>
  <c r="AN14" i="1"/>
  <c r="Y14" i="5" l="1"/>
  <c r="Z13" i="5"/>
  <c r="O47" i="5"/>
  <c r="M48" i="5"/>
  <c r="N47" i="5"/>
  <c r="N13" i="5"/>
  <c r="M14" i="5"/>
  <c r="Y48" i="5"/>
  <c r="AA47" i="5"/>
  <c r="Z47" i="5"/>
  <c r="I48" i="5"/>
  <c r="K47" i="5"/>
  <c r="J47" i="5"/>
  <c r="C49" i="5"/>
  <c r="A50" i="5"/>
  <c r="B49" i="5"/>
  <c r="G48" i="5"/>
  <c r="E49" i="5"/>
  <c r="F48" i="5"/>
  <c r="W48" i="5"/>
  <c r="U49" i="5"/>
  <c r="V48" i="5"/>
  <c r="S48" i="5"/>
  <c r="R48" i="5"/>
  <c r="Q49" i="5"/>
  <c r="V15" i="5"/>
  <c r="U16" i="5"/>
  <c r="Q16" i="5"/>
  <c r="R15" i="5"/>
  <c r="I16" i="5"/>
  <c r="J15" i="5"/>
  <c r="E16" i="5"/>
  <c r="F15" i="5"/>
  <c r="B15" i="5"/>
  <c r="A16" i="5"/>
  <c r="A16" i="1"/>
  <c r="AN15" i="1"/>
  <c r="B15" i="1"/>
  <c r="I49" i="5" l="1"/>
  <c r="K48" i="5"/>
  <c r="J48" i="5"/>
  <c r="AA48" i="5"/>
  <c r="Z48" i="5"/>
  <c r="Y49" i="5"/>
  <c r="M15" i="5"/>
  <c r="N14" i="5"/>
  <c r="O48" i="5"/>
  <c r="M49" i="5"/>
  <c r="N48" i="5"/>
  <c r="Y15" i="5"/>
  <c r="Z14" i="5"/>
  <c r="W49" i="5"/>
  <c r="V49" i="5"/>
  <c r="U50" i="5"/>
  <c r="G49" i="5"/>
  <c r="E50" i="5"/>
  <c r="F49" i="5"/>
  <c r="S49" i="5"/>
  <c r="R49" i="5"/>
  <c r="Q50" i="5"/>
  <c r="C50" i="5"/>
  <c r="B50" i="5"/>
  <c r="A51" i="5"/>
  <c r="V16" i="5"/>
  <c r="U17" i="5"/>
  <c r="Q17" i="5"/>
  <c r="R16" i="5"/>
  <c r="I17" i="5"/>
  <c r="J16" i="5"/>
  <c r="E17" i="5"/>
  <c r="F16" i="5"/>
  <c r="A17" i="5"/>
  <c r="B16" i="5"/>
  <c r="B16" i="1"/>
  <c r="A17" i="1"/>
  <c r="AN16" i="1"/>
  <c r="O49" i="5" l="1"/>
  <c r="M50" i="5"/>
  <c r="N49" i="5"/>
  <c r="M16" i="5"/>
  <c r="N15" i="5"/>
  <c r="AA49" i="5"/>
  <c r="Y50" i="5"/>
  <c r="Z49" i="5"/>
  <c r="Y16" i="5"/>
  <c r="Z15" i="5"/>
  <c r="I50" i="5"/>
  <c r="K49" i="5"/>
  <c r="J49" i="5"/>
  <c r="S50" i="5"/>
  <c r="R50" i="5"/>
  <c r="Q51" i="5"/>
  <c r="G50" i="5"/>
  <c r="F50" i="5"/>
  <c r="E51" i="5"/>
  <c r="W50" i="5"/>
  <c r="V50" i="5"/>
  <c r="U51" i="5"/>
  <c r="C51" i="5"/>
  <c r="B51" i="5"/>
  <c r="A52" i="5"/>
  <c r="V17" i="5"/>
  <c r="U18" i="5"/>
  <c r="R17" i="5"/>
  <c r="Q18" i="5"/>
  <c r="J17" i="5"/>
  <c r="I18" i="5"/>
  <c r="F17" i="5"/>
  <c r="E18" i="5"/>
  <c r="A18" i="5"/>
  <c r="B17" i="5"/>
  <c r="B17" i="1"/>
  <c r="A18" i="1"/>
  <c r="AN17" i="1"/>
  <c r="Z16" i="5" l="1"/>
  <c r="Y17" i="5"/>
  <c r="Z50" i="5"/>
  <c r="AA50" i="5"/>
  <c r="Y51" i="5"/>
  <c r="N16" i="5"/>
  <c r="M17" i="5"/>
  <c r="I51" i="5"/>
  <c r="K50" i="5"/>
  <c r="J50" i="5"/>
  <c r="O50" i="5"/>
  <c r="N50" i="5"/>
  <c r="M51" i="5"/>
  <c r="S51" i="5"/>
  <c r="Q52" i="5"/>
  <c r="R51" i="5"/>
  <c r="W51" i="5"/>
  <c r="U52" i="5"/>
  <c r="V51" i="5"/>
  <c r="G51" i="5"/>
  <c r="E52" i="5"/>
  <c r="F51" i="5"/>
  <c r="C52" i="5"/>
  <c r="A53" i="5"/>
  <c r="B52" i="5"/>
  <c r="U19" i="5"/>
  <c r="V18" i="5"/>
  <c r="Q19" i="5"/>
  <c r="R18" i="5"/>
  <c r="I19" i="5"/>
  <c r="J18" i="5"/>
  <c r="E19" i="5"/>
  <c r="F18" i="5"/>
  <c r="A19" i="5"/>
  <c r="B18" i="5"/>
  <c r="A19" i="1"/>
  <c r="AN18" i="1"/>
  <c r="B18" i="1"/>
  <c r="I52" i="5" l="1"/>
  <c r="J51" i="5"/>
  <c r="K51" i="5"/>
  <c r="N17" i="5"/>
  <c r="M18" i="5"/>
  <c r="O51" i="5"/>
  <c r="M52" i="5"/>
  <c r="N51" i="5"/>
  <c r="AA51" i="5"/>
  <c r="Z51" i="5"/>
  <c r="Y52" i="5"/>
  <c r="Z17" i="5"/>
  <c r="Y18" i="5"/>
  <c r="C53" i="5"/>
  <c r="A54" i="5"/>
  <c r="B53" i="5"/>
  <c r="W52" i="5"/>
  <c r="U53" i="5"/>
  <c r="V52" i="5"/>
  <c r="G52" i="5"/>
  <c r="E53" i="5"/>
  <c r="F52" i="5"/>
  <c r="S52" i="5"/>
  <c r="Q53" i="5"/>
  <c r="R52" i="5"/>
  <c r="V19" i="5"/>
  <c r="U20" i="5"/>
  <c r="Q20" i="5"/>
  <c r="R19" i="5"/>
  <c r="I20" i="5"/>
  <c r="J19" i="5"/>
  <c r="E20" i="5"/>
  <c r="F19" i="5"/>
  <c r="B19" i="5"/>
  <c r="A20" i="5"/>
  <c r="A20" i="1"/>
  <c r="AN19" i="1"/>
  <c r="B19" i="1"/>
  <c r="O52" i="5" l="1"/>
  <c r="M53" i="5"/>
  <c r="N52" i="5"/>
  <c r="Y19" i="5"/>
  <c r="Z18" i="5"/>
  <c r="N18" i="5"/>
  <c r="M19" i="5"/>
  <c r="Y53" i="5"/>
  <c r="Z52" i="5"/>
  <c r="AA52" i="5"/>
  <c r="K52" i="5"/>
  <c r="I53" i="5"/>
  <c r="J52" i="5"/>
  <c r="G53" i="5"/>
  <c r="E54" i="5"/>
  <c r="F53" i="5"/>
  <c r="W53" i="5"/>
  <c r="U54" i="5"/>
  <c r="V53" i="5"/>
  <c r="S53" i="5"/>
  <c r="Q54" i="5"/>
  <c r="R53" i="5"/>
  <c r="C54" i="5"/>
  <c r="A55" i="5"/>
  <c r="B54" i="5"/>
  <c r="V20" i="5"/>
  <c r="U21" i="5"/>
  <c r="R20" i="5"/>
  <c r="Q21" i="5"/>
  <c r="J20" i="5"/>
  <c r="I21" i="5"/>
  <c r="F20" i="5"/>
  <c r="E21" i="5"/>
  <c r="A21" i="5"/>
  <c r="B20" i="5"/>
  <c r="B20" i="1"/>
  <c r="A21" i="1"/>
  <c r="AN20" i="1"/>
  <c r="N19" i="5" l="1"/>
  <c r="M20" i="5"/>
  <c r="K53" i="5"/>
  <c r="I54" i="5"/>
  <c r="J53" i="5"/>
  <c r="Y20" i="5"/>
  <c r="Z19" i="5"/>
  <c r="AA53" i="5"/>
  <c r="Z53" i="5"/>
  <c r="Y54" i="5"/>
  <c r="O53" i="5"/>
  <c r="M54" i="5"/>
  <c r="N53" i="5"/>
  <c r="S54" i="5"/>
  <c r="Q55" i="5"/>
  <c r="R54" i="5"/>
  <c r="W54" i="5"/>
  <c r="U55" i="5"/>
  <c r="V54" i="5"/>
  <c r="G54" i="5"/>
  <c r="E55" i="5"/>
  <c r="F54" i="5"/>
  <c r="C55" i="5"/>
  <c r="A56" i="5"/>
  <c r="B55" i="5"/>
  <c r="U22" i="5"/>
  <c r="V21" i="5"/>
  <c r="Q22" i="5"/>
  <c r="R21" i="5"/>
  <c r="I22" i="5"/>
  <c r="J21" i="5"/>
  <c r="E22" i="5"/>
  <c r="F21" i="5"/>
  <c r="B21" i="5"/>
  <c r="A22" i="5"/>
  <c r="AN21" i="1"/>
  <c r="B21" i="1"/>
  <c r="A22" i="1"/>
  <c r="Z20" i="5" l="1"/>
  <c r="Y21" i="5"/>
  <c r="O54" i="5"/>
  <c r="M55" i="5"/>
  <c r="N54" i="5"/>
  <c r="K54" i="5"/>
  <c r="J54" i="5"/>
  <c r="I55" i="5"/>
  <c r="Y55" i="5"/>
  <c r="Z54" i="5"/>
  <c r="AA54" i="5"/>
  <c r="M21" i="5"/>
  <c r="N20" i="5"/>
  <c r="G55" i="5"/>
  <c r="F55" i="5"/>
  <c r="E56" i="5"/>
  <c r="S55" i="5"/>
  <c r="R55" i="5"/>
  <c r="Q56" i="5"/>
  <c r="W55" i="5"/>
  <c r="V55" i="5"/>
  <c r="U56" i="5"/>
  <c r="C56" i="5"/>
  <c r="B56" i="5"/>
  <c r="A57" i="5"/>
  <c r="U23" i="5"/>
  <c r="V22" i="5"/>
  <c r="Q23" i="5"/>
  <c r="R22" i="5"/>
  <c r="I23" i="5"/>
  <c r="J22" i="5"/>
  <c r="E23" i="5"/>
  <c r="F22" i="5"/>
  <c r="A23" i="5"/>
  <c r="B22" i="5"/>
  <c r="A23" i="1"/>
  <c r="B22" i="1"/>
  <c r="AN22" i="1"/>
  <c r="N21" i="5" l="1"/>
  <c r="M22" i="5"/>
  <c r="O55" i="5"/>
  <c r="M56" i="5"/>
  <c r="N55" i="5"/>
  <c r="Y22" i="5"/>
  <c r="Z21" i="5"/>
  <c r="J55" i="5"/>
  <c r="K55" i="5"/>
  <c r="I56" i="5"/>
  <c r="AA55" i="5"/>
  <c r="Z55" i="5"/>
  <c r="Y56" i="5"/>
  <c r="W56" i="5"/>
  <c r="U57" i="5"/>
  <c r="V56" i="5"/>
  <c r="S56" i="5"/>
  <c r="Q57" i="5"/>
  <c r="R56" i="5"/>
  <c r="C57" i="5"/>
  <c r="A58" i="5"/>
  <c r="B57" i="5"/>
  <c r="G56" i="5"/>
  <c r="E57" i="5"/>
  <c r="F56" i="5"/>
  <c r="V23" i="5"/>
  <c r="U24" i="5"/>
  <c r="Q24" i="5"/>
  <c r="R23" i="5"/>
  <c r="I24" i="5"/>
  <c r="J23" i="5"/>
  <c r="F23" i="5"/>
  <c r="E24" i="5"/>
  <c r="B23" i="5"/>
  <c r="A24" i="5"/>
  <c r="B23" i="1"/>
  <c r="A24" i="1"/>
  <c r="AN23" i="1"/>
  <c r="Y23" i="5" l="1"/>
  <c r="Z22" i="5"/>
  <c r="AA56" i="5"/>
  <c r="Z56" i="5"/>
  <c r="Y57" i="5"/>
  <c r="O56" i="5"/>
  <c r="N56" i="5"/>
  <c r="M57" i="5"/>
  <c r="J56" i="5"/>
  <c r="K56" i="5"/>
  <c r="I57" i="5"/>
  <c r="N22" i="5"/>
  <c r="M23" i="5"/>
  <c r="S57" i="5"/>
  <c r="Q58" i="5"/>
  <c r="R57" i="5"/>
  <c r="G57" i="5"/>
  <c r="E58" i="5"/>
  <c r="F57" i="5"/>
  <c r="C58" i="5"/>
  <c r="A59" i="5"/>
  <c r="B58" i="5"/>
  <c r="W57" i="5"/>
  <c r="V57" i="5"/>
  <c r="U58" i="5"/>
  <c r="V24" i="5"/>
  <c r="U25" i="5"/>
  <c r="Q25" i="5"/>
  <c r="R24" i="5"/>
  <c r="I25" i="5"/>
  <c r="J24" i="5"/>
  <c r="E25" i="5"/>
  <c r="F24" i="5"/>
  <c r="A25" i="5"/>
  <c r="B24" i="5"/>
  <c r="A25" i="1"/>
  <c r="AN24" i="1"/>
  <c r="B24" i="1"/>
  <c r="O57" i="5" l="1"/>
  <c r="N57" i="5"/>
  <c r="M58" i="5"/>
  <c r="J57" i="5"/>
  <c r="K57" i="5"/>
  <c r="I58" i="5"/>
  <c r="N23" i="5"/>
  <c r="M24" i="5"/>
  <c r="Z57" i="5"/>
  <c r="AA57" i="5"/>
  <c r="Y58" i="5"/>
  <c r="Y24" i="5"/>
  <c r="Z23" i="5"/>
  <c r="C59" i="5"/>
  <c r="A60" i="5"/>
  <c r="B59" i="5"/>
  <c r="G58" i="5"/>
  <c r="F58" i="5"/>
  <c r="E59" i="5"/>
  <c r="W58" i="5"/>
  <c r="V58" i="5"/>
  <c r="U59" i="5"/>
  <c r="S58" i="5"/>
  <c r="Q59" i="5"/>
  <c r="R58" i="5"/>
  <c r="V25" i="5"/>
  <c r="U26" i="5"/>
  <c r="R25" i="5"/>
  <c r="Q26" i="5"/>
  <c r="J25" i="5"/>
  <c r="I26" i="5"/>
  <c r="F25" i="5"/>
  <c r="E26" i="5"/>
  <c r="A26" i="5"/>
  <c r="B25" i="5"/>
  <c r="B25" i="1"/>
  <c r="AN25" i="1"/>
  <c r="A26" i="1"/>
  <c r="M25" i="5" l="1"/>
  <c r="N24" i="5"/>
  <c r="K58" i="5"/>
  <c r="J58" i="5"/>
  <c r="I59" i="5"/>
  <c r="Y25" i="5"/>
  <c r="Z24" i="5"/>
  <c r="AA58" i="5"/>
  <c r="Y59" i="5"/>
  <c r="Z58" i="5"/>
  <c r="O58" i="5"/>
  <c r="M59" i="5"/>
  <c r="N58" i="5"/>
  <c r="G59" i="5"/>
  <c r="E60" i="5"/>
  <c r="F59" i="5"/>
  <c r="S59" i="5"/>
  <c r="Q60" i="5"/>
  <c r="R59" i="5"/>
  <c r="W59" i="5"/>
  <c r="U60" i="5"/>
  <c r="V59" i="5"/>
  <c r="C60" i="5"/>
  <c r="B60" i="5"/>
  <c r="A61" i="5"/>
  <c r="V26" i="5"/>
  <c r="U27" i="5"/>
  <c r="Q27" i="5"/>
  <c r="R26" i="5"/>
  <c r="I27" i="5"/>
  <c r="J26" i="5"/>
  <c r="E27" i="5"/>
  <c r="F26" i="5"/>
  <c r="A27" i="5"/>
  <c r="B26" i="5"/>
  <c r="B26" i="1"/>
  <c r="AN26" i="1"/>
  <c r="A27" i="1"/>
  <c r="Z25" i="5" l="1"/>
  <c r="Y26" i="5"/>
  <c r="K59" i="5"/>
  <c r="J59" i="5"/>
  <c r="I60" i="5"/>
  <c r="O59" i="5"/>
  <c r="M60" i="5"/>
  <c r="N59" i="5"/>
  <c r="AA59" i="5"/>
  <c r="Y60" i="5"/>
  <c r="Z59" i="5"/>
  <c r="M26" i="5"/>
  <c r="N25" i="5"/>
  <c r="S60" i="5"/>
  <c r="Q61" i="5"/>
  <c r="R60" i="5"/>
  <c r="G60" i="5"/>
  <c r="E61" i="5"/>
  <c r="F60" i="5"/>
  <c r="C61" i="5"/>
  <c r="B61" i="5"/>
  <c r="A62" i="5"/>
  <c r="W60" i="5"/>
  <c r="U61" i="5"/>
  <c r="V60" i="5"/>
  <c r="V27" i="5"/>
  <c r="U28" i="5"/>
  <c r="Q28" i="5"/>
  <c r="R27" i="5"/>
  <c r="I28" i="5"/>
  <c r="J27" i="5"/>
  <c r="E28" i="5"/>
  <c r="F27" i="5"/>
  <c r="B27" i="5"/>
  <c r="A28" i="5"/>
  <c r="B27" i="1"/>
  <c r="A28" i="1"/>
  <c r="AN27" i="1"/>
  <c r="O60" i="5" l="1"/>
  <c r="N60" i="5"/>
  <c r="M61" i="5"/>
  <c r="K60" i="5"/>
  <c r="I61" i="5"/>
  <c r="J60" i="5"/>
  <c r="N26" i="5"/>
  <c r="M27" i="5"/>
  <c r="Y61" i="5"/>
  <c r="Z60" i="5"/>
  <c r="AA60" i="5"/>
  <c r="Y27" i="5"/>
  <c r="Z26" i="5"/>
  <c r="G61" i="5"/>
  <c r="E62" i="5"/>
  <c r="F61" i="5"/>
  <c r="W61" i="5"/>
  <c r="U62" i="5"/>
  <c r="V61" i="5"/>
  <c r="C62" i="5"/>
  <c r="B62" i="5"/>
  <c r="A63" i="5"/>
  <c r="S61" i="5"/>
  <c r="Q62" i="5"/>
  <c r="R61" i="5"/>
  <c r="U29" i="5"/>
  <c r="V28" i="5"/>
  <c r="R28" i="5"/>
  <c r="Q29" i="5"/>
  <c r="J28" i="5"/>
  <c r="I29" i="5"/>
  <c r="F28" i="5"/>
  <c r="E29" i="5"/>
  <c r="A29" i="5"/>
  <c r="B28" i="5"/>
  <c r="A29" i="1"/>
  <c r="A30" i="1" s="1"/>
  <c r="AN28" i="1"/>
  <c r="B28" i="1"/>
  <c r="Z27" i="5" l="1"/>
  <c r="Y28" i="5"/>
  <c r="AA61" i="5"/>
  <c r="Z61" i="5"/>
  <c r="Y62" i="5"/>
  <c r="N27" i="5"/>
  <c r="M28" i="5"/>
  <c r="I62" i="5"/>
  <c r="K61" i="5"/>
  <c r="J61" i="5"/>
  <c r="O61" i="5"/>
  <c r="N61" i="5"/>
  <c r="M62" i="5"/>
  <c r="W62" i="5"/>
  <c r="U63" i="5"/>
  <c r="V62" i="5"/>
  <c r="C63" i="5"/>
  <c r="A64" i="5"/>
  <c r="B63" i="5"/>
  <c r="S62" i="5"/>
  <c r="Q63" i="5"/>
  <c r="R62" i="5"/>
  <c r="G62" i="5"/>
  <c r="E63" i="5"/>
  <c r="F62" i="5"/>
  <c r="V29" i="5"/>
  <c r="U30" i="5"/>
  <c r="Q30" i="5"/>
  <c r="R29" i="5"/>
  <c r="I30" i="5"/>
  <c r="J29" i="5"/>
  <c r="E30" i="5"/>
  <c r="F29" i="5"/>
  <c r="B29" i="5"/>
  <c r="A30" i="5"/>
  <c r="AN29" i="1"/>
  <c r="B29" i="1"/>
  <c r="K62" i="5" l="1"/>
  <c r="I63" i="5"/>
  <c r="J62" i="5"/>
  <c r="M29" i="5"/>
  <c r="N28" i="5"/>
  <c r="O62" i="5"/>
  <c r="M63" i="5"/>
  <c r="N62" i="5"/>
  <c r="AA62" i="5"/>
  <c r="Y63" i="5"/>
  <c r="Z62" i="5"/>
  <c r="Z28" i="5"/>
  <c r="Y29" i="5"/>
  <c r="C64" i="5"/>
  <c r="A65" i="5"/>
  <c r="B64" i="5"/>
  <c r="G63" i="5"/>
  <c r="F63" i="5"/>
  <c r="E64" i="5"/>
  <c r="S63" i="5"/>
  <c r="Q64" i="5"/>
  <c r="R63" i="5"/>
  <c r="W63" i="5"/>
  <c r="V63" i="5"/>
  <c r="U64" i="5"/>
  <c r="V30" i="5"/>
  <c r="U31" i="5"/>
  <c r="K7" i="5"/>
  <c r="K22" i="5"/>
  <c r="K30" i="5"/>
  <c r="K19" i="5"/>
  <c r="K13" i="5"/>
  <c r="K4" i="5"/>
  <c r="K15" i="5"/>
  <c r="K29" i="5"/>
  <c r="K23" i="5"/>
  <c r="K14" i="5"/>
  <c r="K3" i="5"/>
  <c r="K21" i="5"/>
  <c r="K26" i="5"/>
  <c r="K28" i="5"/>
  <c r="K12" i="5"/>
  <c r="K24" i="5"/>
  <c r="K20" i="5"/>
  <c r="K8" i="5"/>
  <c r="K16" i="5"/>
  <c r="K10" i="5"/>
  <c r="K17" i="5"/>
  <c r="K5" i="5"/>
  <c r="K18" i="5"/>
  <c r="K25" i="5"/>
  <c r="K27" i="5"/>
  <c r="K11" i="5"/>
  <c r="K9" i="5"/>
  <c r="K6" i="5"/>
  <c r="Q31" i="5"/>
  <c r="R30" i="5"/>
  <c r="I31" i="5"/>
  <c r="J30" i="5"/>
  <c r="E31" i="5"/>
  <c r="F30" i="5"/>
  <c r="A31" i="5"/>
  <c r="B30" i="5"/>
  <c r="A31" i="1"/>
  <c r="AN30" i="1"/>
  <c r="B30" i="1"/>
  <c r="O63" i="5" l="1"/>
  <c r="N63" i="5"/>
  <c r="M64" i="5"/>
  <c r="Z29" i="5"/>
  <c r="Y30" i="5"/>
  <c r="M30" i="5"/>
  <c r="N29" i="5"/>
  <c r="Z63" i="5"/>
  <c r="AA63" i="5"/>
  <c r="Y64" i="5"/>
  <c r="K63" i="5"/>
  <c r="I64" i="5"/>
  <c r="J63" i="5"/>
  <c r="C65" i="5"/>
  <c r="B65" i="5"/>
  <c r="A66" i="5"/>
  <c r="S64" i="5"/>
  <c r="R64" i="5"/>
  <c r="Q65" i="5"/>
  <c r="G64" i="5"/>
  <c r="E65" i="5"/>
  <c r="F64" i="5"/>
  <c r="W64" i="5"/>
  <c r="U65" i="5"/>
  <c r="V64" i="5"/>
  <c r="K31" i="5"/>
  <c r="U32" i="5"/>
  <c r="V31" i="5"/>
  <c r="Q32" i="5"/>
  <c r="R31" i="5"/>
  <c r="I32" i="5"/>
  <c r="J31" i="5"/>
  <c r="E32" i="5"/>
  <c r="F31" i="5"/>
  <c r="B31" i="5"/>
  <c r="A32" i="5"/>
  <c r="B31" i="1"/>
  <c r="A32" i="1"/>
  <c r="AN31" i="1"/>
  <c r="M31" i="5" l="1"/>
  <c r="N30" i="5"/>
  <c r="Y31" i="5"/>
  <c r="Z30" i="5"/>
  <c r="K64" i="5"/>
  <c r="I65" i="5"/>
  <c r="J64" i="5"/>
  <c r="O64" i="5"/>
  <c r="N64" i="5"/>
  <c r="M65" i="5"/>
  <c r="AA64" i="5"/>
  <c r="Z64" i="5"/>
  <c r="Y65" i="5"/>
  <c r="W65" i="5"/>
  <c r="U66" i="5"/>
  <c r="V65" i="5"/>
  <c r="S65" i="5"/>
  <c r="Q66" i="5"/>
  <c r="R65" i="5"/>
  <c r="G65" i="5"/>
  <c r="E66" i="5"/>
  <c r="F65" i="5"/>
  <c r="C66" i="5"/>
  <c r="A67" i="5"/>
  <c r="B66" i="5"/>
  <c r="K32" i="5"/>
  <c r="U33" i="5"/>
  <c r="V33" i="5" s="1"/>
  <c r="V32" i="5"/>
  <c r="Q33" i="5"/>
  <c r="R33" i="5" s="1"/>
  <c r="R32" i="5"/>
  <c r="G11" i="5"/>
  <c r="G25" i="5"/>
  <c r="G3" i="5"/>
  <c r="I33" i="5"/>
  <c r="J33" i="5" s="1"/>
  <c r="J32" i="5"/>
  <c r="E33" i="5"/>
  <c r="F33" i="5" s="1"/>
  <c r="F32" i="5"/>
  <c r="B32" i="5"/>
  <c r="A33" i="5"/>
  <c r="B32" i="1"/>
  <c r="A33" i="1"/>
  <c r="AN32" i="1"/>
  <c r="S2" i="6" l="1"/>
  <c r="D18" i="6"/>
  <c r="I2" i="6"/>
  <c r="X2" i="6"/>
  <c r="N2" i="6"/>
  <c r="K65" i="5"/>
  <c r="J65" i="5"/>
  <c r="I66" i="5"/>
  <c r="AA65" i="5"/>
  <c r="Y66" i="5"/>
  <c r="Z65" i="5"/>
  <c r="Z31" i="5"/>
  <c r="Y32" i="5"/>
  <c r="O65" i="5"/>
  <c r="N65" i="5"/>
  <c r="M66" i="5"/>
  <c r="M32" i="5"/>
  <c r="N31" i="5"/>
  <c r="G66" i="5"/>
  <c r="E67" i="5"/>
  <c r="F66" i="5"/>
  <c r="S66" i="5"/>
  <c r="R66" i="5"/>
  <c r="Q67" i="5"/>
  <c r="C67" i="5"/>
  <c r="A68" i="5"/>
  <c r="B67" i="5"/>
  <c r="W66" i="5"/>
  <c r="V66" i="5"/>
  <c r="U67" i="5"/>
  <c r="B33" i="5"/>
  <c r="K33" i="5"/>
  <c r="K34" i="5" s="1"/>
  <c r="G26" i="5"/>
  <c r="W16" i="5"/>
  <c r="W13" i="5"/>
  <c r="W32" i="5"/>
  <c r="W11" i="5"/>
  <c r="W17" i="5"/>
  <c r="W10" i="5"/>
  <c r="W22" i="5"/>
  <c r="W8" i="5"/>
  <c r="W23" i="5"/>
  <c r="W19" i="5"/>
  <c r="W33" i="5"/>
  <c r="W4" i="5"/>
  <c r="W24" i="5"/>
  <c r="W7" i="5"/>
  <c r="W27" i="5"/>
  <c r="W30" i="5"/>
  <c r="W5" i="5"/>
  <c r="W31" i="5"/>
  <c r="W29" i="5"/>
  <c r="W21" i="5"/>
  <c r="W14" i="5"/>
  <c r="W18" i="5"/>
  <c r="W20" i="5"/>
  <c r="W12" i="5"/>
  <c r="W9" i="5"/>
  <c r="W25" i="5"/>
  <c r="W6" i="5"/>
  <c r="W26" i="5"/>
  <c r="W3" i="5"/>
  <c r="W15" i="5"/>
  <c r="S8" i="5"/>
  <c r="S17" i="5"/>
  <c r="O17" i="5"/>
  <c r="O7" i="5"/>
  <c r="S29" i="5"/>
  <c r="O30" i="5"/>
  <c r="O9" i="5"/>
  <c r="S32" i="5"/>
  <c r="O5" i="5"/>
  <c r="S9" i="5"/>
  <c r="O28" i="5"/>
  <c r="S19" i="5"/>
  <c r="S21" i="5"/>
  <c r="S18" i="5"/>
  <c r="O22" i="5"/>
  <c r="S25" i="5"/>
  <c r="S7" i="5"/>
  <c r="S20" i="5"/>
  <c r="O31" i="5"/>
  <c r="S33" i="5"/>
  <c r="O3" i="5"/>
  <c r="S15" i="5"/>
  <c r="O16" i="5"/>
  <c r="S13" i="5"/>
  <c r="O12" i="5"/>
  <c r="S28" i="5"/>
  <c r="S5" i="5"/>
  <c r="S24" i="5"/>
  <c r="O29" i="5"/>
  <c r="O26" i="5"/>
  <c r="S22" i="5"/>
  <c r="O20" i="5"/>
  <c r="S10" i="5"/>
  <c r="S11" i="5"/>
  <c r="O6" i="5"/>
  <c r="S27" i="5"/>
  <c r="O25" i="5"/>
  <c r="S4" i="5"/>
  <c r="O18" i="5"/>
  <c r="O24" i="5"/>
  <c r="S30" i="5"/>
  <c r="O19" i="5"/>
  <c r="S16" i="5"/>
  <c r="O21" i="5"/>
  <c r="S6" i="5"/>
  <c r="S14" i="5"/>
  <c r="S12" i="5"/>
  <c r="O32" i="5"/>
  <c r="S23" i="5"/>
  <c r="O4" i="5"/>
  <c r="S31" i="5"/>
  <c r="O14" i="5"/>
  <c r="S26" i="5"/>
  <c r="W28" i="5"/>
  <c r="AA5" i="5"/>
  <c r="AA22" i="5"/>
  <c r="AA10" i="5"/>
  <c r="AA24" i="5"/>
  <c r="AA28" i="5"/>
  <c r="AA29" i="5"/>
  <c r="AA33" i="5"/>
  <c r="AA8" i="5"/>
  <c r="AA11" i="5"/>
  <c r="AA19" i="5"/>
  <c r="AA13" i="5"/>
  <c r="AA30" i="5"/>
  <c r="AA14" i="5"/>
  <c r="AA31" i="5"/>
  <c r="AA7" i="5"/>
  <c r="AA12" i="5"/>
  <c r="AA25" i="5"/>
  <c r="AA21" i="5"/>
  <c r="AA9" i="5"/>
  <c r="AA26" i="5"/>
  <c r="AA3" i="5"/>
  <c r="AA16" i="5"/>
  <c r="AA15" i="5"/>
  <c r="AA6" i="5"/>
  <c r="AA18" i="5"/>
  <c r="AA17" i="5"/>
  <c r="AA23" i="5"/>
  <c r="O23" i="5"/>
  <c r="O8" i="5"/>
  <c r="O13" i="5"/>
  <c r="S3" i="5"/>
  <c r="O11" i="5"/>
  <c r="O27" i="5"/>
  <c r="O10" i="5"/>
  <c r="O15" i="5"/>
  <c r="O33" i="5"/>
  <c r="AA20" i="5"/>
  <c r="AA4" i="5"/>
  <c r="AA32" i="5"/>
  <c r="AA27" i="5"/>
  <c r="G30" i="5"/>
  <c r="G9" i="5"/>
  <c r="C5" i="5"/>
  <c r="C11" i="5"/>
  <c r="C4" i="5"/>
  <c r="C9" i="5"/>
  <c r="C10" i="5"/>
  <c r="C7" i="5"/>
  <c r="C33" i="5"/>
  <c r="C12" i="5"/>
  <c r="C25" i="5"/>
  <c r="C30" i="5"/>
  <c r="C19" i="5"/>
  <c r="C14" i="5"/>
  <c r="C24" i="5"/>
  <c r="C32" i="5"/>
  <c r="C31" i="5"/>
  <c r="C20" i="5"/>
  <c r="C16" i="5"/>
  <c r="C27" i="5"/>
  <c r="C8" i="5"/>
  <c r="C6" i="5"/>
  <c r="C28" i="5"/>
  <c r="C17" i="5"/>
  <c r="C29" i="5"/>
  <c r="C23" i="5"/>
  <c r="C22" i="5"/>
  <c r="C13" i="5"/>
  <c r="C15" i="5"/>
  <c r="C26" i="5"/>
  <c r="C18" i="5"/>
  <c r="C21" i="5"/>
  <c r="C3" i="5"/>
  <c r="G17" i="5"/>
  <c r="G28" i="5"/>
  <c r="G8" i="5"/>
  <c r="G32" i="5"/>
  <c r="G24" i="5"/>
  <c r="G14" i="5"/>
  <c r="G29" i="5"/>
  <c r="G20" i="5"/>
  <c r="G23" i="5"/>
  <c r="G22" i="5"/>
  <c r="G33" i="5"/>
  <c r="G13" i="5"/>
  <c r="G4" i="5"/>
  <c r="G10" i="5"/>
  <c r="G31" i="5"/>
  <c r="G5" i="5"/>
  <c r="G16" i="5"/>
  <c r="G7" i="5"/>
  <c r="G19" i="5"/>
  <c r="G21" i="5"/>
  <c r="G6" i="5"/>
  <c r="G27" i="5"/>
  <c r="G12" i="5"/>
  <c r="G15" i="5"/>
  <c r="G18" i="5"/>
  <c r="AN33" i="1"/>
  <c r="B33" i="1"/>
  <c r="N18" i="6" l="1"/>
  <c r="X18" i="6"/>
  <c r="S18" i="6"/>
  <c r="I18" i="6"/>
  <c r="S34" i="5"/>
  <c r="Z32" i="5"/>
  <c r="Y33" i="5"/>
  <c r="Z33" i="5" s="1"/>
  <c r="Z66" i="5"/>
  <c r="AA66" i="5"/>
  <c r="Y67" i="5"/>
  <c r="N32" i="5"/>
  <c r="M33" i="5"/>
  <c r="N33" i="5" s="1"/>
  <c r="N66" i="5"/>
  <c r="M67" i="5"/>
  <c r="O66" i="5"/>
  <c r="K66" i="5"/>
  <c r="J66" i="5"/>
  <c r="I67" i="5"/>
  <c r="B68" i="5"/>
  <c r="C68" i="5"/>
  <c r="C69" i="5" s="1"/>
  <c r="W67" i="5"/>
  <c r="U68" i="5"/>
  <c r="V67" i="5"/>
  <c r="S67" i="5"/>
  <c r="Q68" i="5"/>
  <c r="R67" i="5"/>
  <c r="G67" i="5"/>
  <c r="F67" i="5"/>
  <c r="E68" i="5"/>
  <c r="G34" i="5"/>
  <c r="C34" i="5"/>
  <c r="W34" i="5"/>
  <c r="O34" i="5"/>
  <c r="AA34" i="5"/>
  <c r="C48" i="2"/>
  <c r="D48" i="2" s="1"/>
  <c r="E48" i="2" s="1"/>
  <c r="C51" i="2"/>
  <c r="D51" i="2" s="1"/>
  <c r="E51" i="2" s="1"/>
  <c r="C44" i="2"/>
  <c r="D44" i="2" s="1"/>
  <c r="E44" i="2" s="1"/>
  <c r="C45" i="2"/>
  <c r="D45" i="2" s="1"/>
  <c r="E45" i="2" s="1"/>
  <c r="C43" i="2"/>
  <c r="D43" i="2" s="1"/>
  <c r="E43" i="2" s="1"/>
  <c r="C47" i="2"/>
  <c r="D47" i="2" s="1"/>
  <c r="E47" i="2" s="1"/>
  <c r="C46" i="2"/>
  <c r="D46" i="2" s="1"/>
  <c r="E46" i="2" s="1"/>
  <c r="C6" i="2"/>
  <c r="D6" i="2" s="1"/>
  <c r="E6" i="2" s="1"/>
  <c r="C27" i="2"/>
  <c r="D27" i="2" s="1"/>
  <c r="E27" i="2" s="1"/>
  <c r="C28" i="2"/>
  <c r="D28" i="2" s="1"/>
  <c r="E28" i="2" s="1"/>
  <c r="C40" i="2"/>
  <c r="D40" i="2" s="1"/>
  <c r="E40" i="2" s="1"/>
  <c r="C36" i="2"/>
  <c r="D36" i="2" s="1"/>
  <c r="E36" i="2" s="1"/>
  <c r="C29" i="2"/>
  <c r="D29" i="2" s="1"/>
  <c r="E29" i="2" s="1"/>
  <c r="C35" i="2"/>
  <c r="D35" i="2" s="1"/>
  <c r="E35" i="2" s="1"/>
  <c r="C39" i="2"/>
  <c r="D39" i="2" s="1"/>
  <c r="E39" i="2" s="1"/>
  <c r="C26" i="2"/>
  <c r="D26" i="2" s="1"/>
  <c r="E26" i="2" s="1"/>
  <c r="C38" i="2"/>
  <c r="D38" i="2" s="1"/>
  <c r="E38" i="2" s="1"/>
  <c r="C37" i="2"/>
  <c r="D37" i="2" s="1"/>
  <c r="E37" i="2" s="1"/>
  <c r="C2" i="2"/>
  <c r="D2" i="2" s="1"/>
  <c r="E2" i="2" s="1"/>
  <c r="C3" i="2"/>
  <c r="D3" i="2" s="1"/>
  <c r="E3" i="2" s="1"/>
  <c r="C4" i="2"/>
  <c r="D4" i="2" s="1"/>
  <c r="E4" i="2" s="1"/>
  <c r="C5" i="2"/>
  <c r="D5" i="2" s="1"/>
  <c r="E5" i="2" s="1"/>
  <c r="C7" i="2"/>
  <c r="D7" i="2" s="1"/>
  <c r="E7" i="2" s="1"/>
  <c r="C55" i="2"/>
  <c r="D55" i="2" s="1"/>
  <c r="E55" i="2" s="1"/>
  <c r="C53" i="2"/>
  <c r="D53" i="2" s="1"/>
  <c r="E53" i="2" s="1"/>
  <c r="C54" i="2"/>
  <c r="D54" i="2" s="1"/>
  <c r="E54" i="2" s="1"/>
  <c r="C31" i="2"/>
  <c r="D31" i="2" s="1"/>
  <c r="E31" i="2" s="1"/>
  <c r="C30" i="2"/>
  <c r="D30" i="2" s="1"/>
  <c r="E30" i="2" s="1"/>
  <c r="C18" i="2"/>
  <c r="D18" i="2" s="1"/>
  <c r="E18" i="2" s="1"/>
  <c r="C20" i="2"/>
  <c r="D20" i="2" s="1"/>
  <c r="E20" i="2" s="1"/>
  <c r="C23" i="2"/>
  <c r="D23" i="2" s="1"/>
  <c r="E23" i="2" s="1"/>
  <c r="C19" i="2"/>
  <c r="D19" i="2" s="1"/>
  <c r="E19" i="2" s="1"/>
  <c r="C52" i="2"/>
  <c r="D52" i="2" s="1"/>
  <c r="E52" i="2" s="1"/>
  <c r="C56" i="2"/>
  <c r="D56" i="2" s="1"/>
  <c r="E56" i="2" s="1"/>
  <c r="C22" i="2"/>
  <c r="D22" i="2" s="1"/>
  <c r="E22" i="2" s="1"/>
  <c r="C21" i="2"/>
  <c r="D21" i="2" s="1"/>
  <c r="E21" i="2" s="1"/>
  <c r="C14" i="2"/>
  <c r="D14" i="2" s="1"/>
  <c r="E14" i="2" s="1"/>
  <c r="C11" i="2"/>
  <c r="D11" i="2" s="1"/>
  <c r="E11" i="2" s="1"/>
  <c r="C10" i="2"/>
  <c r="D10" i="2" s="1"/>
  <c r="E10" i="2" s="1"/>
  <c r="C15" i="2"/>
  <c r="D15" i="2" s="1"/>
  <c r="E15" i="2" s="1"/>
  <c r="C12" i="2"/>
  <c r="D12" i="2" s="1"/>
  <c r="E12" i="2" s="1"/>
  <c r="C13" i="2"/>
  <c r="D13" i="2" s="1"/>
  <c r="E13" i="2" s="1"/>
  <c r="F9" i="3" l="1"/>
  <c r="G9" i="3" s="1"/>
  <c r="B26" i="6" s="1"/>
  <c r="F4" i="3"/>
  <c r="I68" i="5"/>
  <c r="J67" i="5"/>
  <c r="K67" i="5"/>
  <c r="AA67" i="5"/>
  <c r="Y68" i="5"/>
  <c r="Z67" i="5"/>
  <c r="M68" i="5"/>
  <c r="N67" i="5"/>
  <c r="O67" i="5"/>
  <c r="V68" i="5"/>
  <c r="W68" i="5"/>
  <c r="W69" i="5" s="1"/>
  <c r="F68" i="5"/>
  <c r="G68" i="5"/>
  <c r="G69" i="5" s="1"/>
  <c r="R68" i="5"/>
  <c r="S68" i="5"/>
  <c r="S69" i="5" s="1"/>
  <c r="F7" i="3"/>
  <c r="F5" i="3"/>
  <c r="F8" i="3"/>
  <c r="F6" i="3"/>
  <c r="F10" i="3"/>
  <c r="B23" i="6" l="1"/>
  <c r="I9" i="3"/>
  <c r="D23" i="6" s="1"/>
  <c r="H9" i="3"/>
  <c r="D22" i="6" s="1"/>
  <c r="K9" i="3"/>
  <c r="D25" i="6" s="1"/>
  <c r="G10" i="3"/>
  <c r="G23" i="6"/>
  <c r="G6" i="3"/>
  <c r="L7" i="6"/>
  <c r="G8" i="3"/>
  <c r="V7" i="6"/>
  <c r="G5" i="3"/>
  <c r="G10" i="6" s="1"/>
  <c r="G7" i="6"/>
  <c r="G7" i="3"/>
  <c r="Q7" i="6"/>
  <c r="G4" i="3"/>
  <c r="B10" i="6" s="1"/>
  <c r="B7" i="6"/>
  <c r="N68" i="5"/>
  <c r="O68" i="5"/>
  <c r="O69" i="5" s="1"/>
  <c r="Z68" i="5"/>
  <c r="AA68" i="5"/>
  <c r="AA69" i="5" s="1"/>
  <c r="K68" i="5"/>
  <c r="K69" i="5" s="1"/>
  <c r="J68" i="5"/>
  <c r="K10" i="3" l="1"/>
  <c r="I25" i="6" s="1"/>
  <c r="G26" i="6"/>
  <c r="I10" i="3"/>
  <c r="J9" i="3"/>
  <c r="D24" i="6" s="1"/>
  <c r="H10" i="3"/>
  <c r="I4" i="3"/>
  <c r="D7" i="6" s="1"/>
  <c r="H4" i="3"/>
  <c r="D6" i="6" s="1"/>
  <c r="K4" i="3"/>
  <c r="D9" i="6" s="1"/>
  <c r="M7" i="3"/>
  <c r="Q12" i="6" s="1"/>
  <c r="Q10" i="6"/>
  <c r="H5" i="3"/>
  <c r="I6" i="6" s="1"/>
  <c r="M8" i="3"/>
  <c r="V12" i="6" s="1"/>
  <c r="V10" i="6"/>
  <c r="I5" i="3"/>
  <c r="K5" i="3"/>
  <c r="I9" i="6" s="1"/>
  <c r="M6" i="3"/>
  <c r="L12" i="6" s="1"/>
  <c r="L10" i="6"/>
  <c r="J10" i="3" l="1"/>
  <c r="I24" i="6" s="1"/>
  <c r="I23" i="6"/>
  <c r="I22" i="6"/>
  <c r="L9" i="3"/>
  <c r="J4" i="3"/>
  <c r="D8" i="6" s="1"/>
  <c r="J5" i="3"/>
  <c r="I8" i="6" s="1"/>
  <c r="I7" i="6"/>
  <c r="L10" i="3" l="1"/>
  <c r="M10" i="3" s="1"/>
  <c r="G28" i="6" s="1"/>
  <c r="M9" i="3"/>
  <c r="B28" i="6" s="1"/>
  <c r="D26" i="6"/>
  <c r="L4" i="3"/>
  <c r="L5" i="3"/>
  <c r="M4" i="3" l="1"/>
  <c r="L18" i="3"/>
  <c r="I26" i="6"/>
  <c r="D10" i="6"/>
  <c r="M5" i="3"/>
  <c r="G12" i="6" s="1"/>
  <c r="I10" i="6"/>
  <c r="B12" i="6" l="1"/>
  <c r="M18" i="3"/>
</calcChain>
</file>

<file path=xl/comments1.xml><?xml version="1.0" encoding="utf-8"?>
<comments xmlns="http://schemas.openxmlformats.org/spreadsheetml/2006/main">
  <authors>
    <author>남기원</author>
  </authors>
  <commentList>
    <comment ref="A3" authorId="0" shapeId="0">
      <text>
        <r>
          <rPr>
            <b/>
            <sz val="11"/>
            <color indexed="81"/>
            <rFont val="돋움"/>
            <family val="3"/>
            <charset val="129"/>
          </rPr>
          <t>월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<sst xmlns="http://schemas.openxmlformats.org/spreadsheetml/2006/main" count="328" uniqueCount="63">
  <si>
    <t>타임1</t>
  </si>
  <si>
    <t>타임2</t>
  </si>
  <si>
    <t>타임3</t>
  </si>
  <si>
    <t>타임4</t>
  </si>
  <si>
    <t>이 름</t>
  </si>
  <si>
    <t>총 근무시간</t>
  </si>
  <si>
    <t>주차(Hidden)</t>
  </si>
  <si>
    <t>정가은</t>
  </si>
  <si>
    <t>황승연</t>
  </si>
  <si>
    <t>이름</t>
  </si>
  <si>
    <t>출근</t>
  </si>
  <si>
    <t>퇴근</t>
  </si>
  <si>
    <t>시간</t>
  </si>
  <si>
    <t>김도윤</t>
  </si>
  <si>
    <t>김지수</t>
  </si>
  <si>
    <t>이예은</t>
  </si>
  <si>
    <t>송채민</t>
  </si>
  <si>
    <t>김현호</t>
  </si>
  <si>
    <t>주차</t>
  </si>
  <si>
    <t>주간 총 시간</t>
  </si>
  <si>
    <t>15시간 이상?</t>
  </si>
  <si>
    <t>발생 금액</t>
  </si>
  <si>
    <t>작성일자 :</t>
  </si>
  <si>
    <t>번호</t>
  </si>
  <si>
    <t>시 급</t>
  </si>
  <si>
    <t>기본급여</t>
  </si>
  <si>
    <t>주휴수당</t>
  </si>
  <si>
    <t>급여 총계(세전)</t>
  </si>
  <si>
    <t>국민연금</t>
  </si>
  <si>
    <t>건강보험</t>
  </si>
  <si>
    <t>장기요양</t>
  </si>
  <si>
    <t>고용보험</t>
  </si>
  <si>
    <t>공제 합계</t>
  </si>
  <si>
    <t>실수령액</t>
  </si>
  <si>
    <t>합   계</t>
    <phoneticPr fontId="2" type="noConversion"/>
  </si>
  <si>
    <t>성     명</t>
    <phoneticPr fontId="10" type="noConversion"/>
  </si>
  <si>
    <t>지급일자</t>
    <phoneticPr fontId="10" type="noConversion"/>
  </si>
  <si>
    <t>생년월일</t>
    <phoneticPr fontId="10" type="noConversion"/>
  </si>
  <si>
    <t>00.00.00</t>
    <phoneticPr fontId="10" type="noConversion"/>
  </si>
  <si>
    <t>[지급 내역]</t>
    <phoneticPr fontId="10" type="noConversion"/>
  </si>
  <si>
    <t>[공제내역]</t>
    <phoneticPr fontId="10" type="noConversion"/>
  </si>
  <si>
    <t>기본급</t>
    <phoneticPr fontId="10" type="noConversion"/>
  </si>
  <si>
    <t>국민연금</t>
    <phoneticPr fontId="10" type="noConversion"/>
  </si>
  <si>
    <t>주휴수당</t>
    <phoneticPr fontId="10" type="noConversion"/>
  </si>
  <si>
    <t>건강보험</t>
    <phoneticPr fontId="10" type="noConversion"/>
  </si>
  <si>
    <t>기타수당</t>
    <phoneticPr fontId="10" type="noConversion"/>
  </si>
  <si>
    <t>장기요양</t>
    <phoneticPr fontId="10" type="noConversion"/>
  </si>
  <si>
    <t>고용보험</t>
    <phoneticPr fontId="10" type="noConversion"/>
  </si>
  <si>
    <t>지급합계</t>
    <phoneticPr fontId="10" type="noConversion"/>
  </si>
  <si>
    <t>공제합계</t>
    <phoneticPr fontId="10" type="noConversion"/>
  </si>
  <si>
    <t>★ 실 수령액</t>
    <phoneticPr fontId="10" type="noConversion"/>
  </si>
  <si>
    <t>급 여 명 세 서</t>
    <phoneticPr fontId="2" type="noConversion"/>
  </si>
  <si>
    <t>연락처</t>
    <phoneticPr fontId="2" type="noConversion"/>
  </si>
  <si>
    <t xml:space="preserve">위와 같이 급여를 정히 영수함.  </t>
    <phoneticPr fontId="10" type="noConversion"/>
  </si>
  <si>
    <t xml:space="preserve">위와 같이 급여를 정히 영수함.    </t>
    <phoneticPr fontId="10" type="noConversion"/>
  </si>
  <si>
    <t xml:space="preserve">위와 같이 급여를 정히 영수함.   </t>
    <phoneticPr fontId="10" type="noConversion"/>
  </si>
  <si>
    <t>근무일자</t>
    <phoneticPr fontId="2" type="noConversion"/>
  </si>
  <si>
    <t>요일</t>
    <phoneticPr fontId="2" type="noConversion"/>
  </si>
  <si>
    <t>[ 개인별 근무 집계 현황 ]</t>
    <phoneticPr fontId="2" type="noConversion"/>
  </si>
  <si>
    <t>총 근무시간</t>
    <phoneticPr fontId="2" type="noConversion"/>
  </si>
  <si>
    <t>총 근무일수</t>
    <phoneticPr fontId="2" type="noConversion"/>
  </si>
  <si>
    <t>타임5</t>
    <phoneticPr fontId="2" type="noConversion"/>
  </si>
  <si>
    <t>합    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</si>
</sst>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yyyy\-mm\-dd"/>
    <numFmt numFmtId="177" formatCode="0.0"/>
    <numFmt numFmtId="178" formatCode="yyyy&quot;년&quot;\ m&quot;월분 아우어 노무비(아르바이트) 지급대장&quot;"/>
    <numFmt numFmtId="179" formatCode="yyyy&quot;년&quot;\ m&quot;월&quot;\ d&quot;일&quot;"/>
  </numFmts>
  <fonts count="12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b/>
      <sz val="14"/>
      <color theme="1"/>
      <name val="맑은 고딕"/>
      <family val="3"/>
      <charset val="129"/>
      <scheme val="minor"/>
    </font>
    <font>
      <b/>
      <u/>
      <sz val="18"/>
      <name val="맑은 고딕"/>
      <family val="3"/>
      <charset val="129"/>
    </font>
    <font>
      <sz val="18"/>
      <color theme="1"/>
      <name val="맑은 고딕"/>
      <family val="3"/>
      <charset val="129"/>
      <scheme val="minor"/>
    </font>
    <font>
      <sz val="11"/>
      <name val="굴림"/>
      <family val="3"/>
      <charset val="129"/>
    </font>
    <font>
      <sz val="8"/>
      <name val="굴림"/>
      <family val="3"/>
      <charset val="129"/>
    </font>
    <font>
      <b/>
      <u/>
      <sz val="12"/>
      <name val="굴림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rgb="FFDDDDDD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rgb="FFDDDDDD"/>
      </patternFill>
    </fill>
    <fill>
      <patternFill patternType="solid">
        <fgColor theme="6" tint="0.79998168889431442"/>
        <bgColor rgb="FFDDDDDD"/>
      </patternFill>
    </fill>
    <fill>
      <patternFill patternType="solid">
        <fgColor theme="7" tint="0.79998168889431442"/>
        <bgColor rgb="FFDDDDDD"/>
      </patternFill>
    </fill>
    <fill>
      <patternFill patternType="solid">
        <fgColor theme="9" tint="0.79998168889431442"/>
        <bgColor rgb="FFDDDDDD"/>
      </patternFill>
    </fill>
    <fill>
      <patternFill patternType="solid">
        <fgColor theme="4" tint="0.79998168889431442"/>
        <bgColor rgb="FFDDDDDD"/>
      </patternFill>
    </fill>
    <fill>
      <patternFill patternType="solid">
        <fgColor theme="2" tint="-9.9978637043366805E-2"/>
        <bgColor rgb="FFDDDDDD"/>
      </patternFill>
    </fill>
    <fill>
      <patternFill patternType="solid">
        <fgColor theme="0"/>
        <bgColor rgb="FFFFFF00"/>
      </patternFill>
    </fill>
    <fill>
      <patternFill patternType="solid">
        <fgColor theme="9" tint="0.79998168889431442"/>
        <bgColor rgb="FFFFFF00"/>
      </patternFill>
    </fill>
    <fill>
      <patternFill patternType="solid">
        <fgColor theme="9" tint="0.79998168889431442"/>
        <bgColor rgb="FFFFE699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DDDDDD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>
      <alignment vertical="center"/>
    </xf>
    <xf numFmtId="0" fontId="9" fillId="0" borderId="0"/>
  </cellStyleXfs>
  <cellXfs count="15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/>
    <xf numFmtId="0" fontId="0" fillId="7" borderId="1" xfId="0" applyFill="1" applyBorder="1" applyAlignment="1">
      <alignment horizontal="center" vertical="center"/>
    </xf>
    <xf numFmtId="0" fontId="6" fillId="8" borderId="0" xfId="0" applyFont="1" applyFill="1"/>
    <xf numFmtId="176" fontId="0" fillId="7" borderId="6" xfId="0" applyNumberFormat="1" applyFill="1" applyBorder="1" applyAlignment="1">
      <alignment horizontal="center" vertical="center"/>
    </xf>
    <xf numFmtId="0" fontId="0" fillId="8" borderId="7" xfId="0" applyFill="1" applyBorder="1"/>
    <xf numFmtId="0" fontId="0" fillId="8" borderId="10" xfId="0" applyFill="1" applyBorder="1"/>
    <xf numFmtId="176" fontId="0" fillId="11" borderId="6" xfId="0" applyNumberFormat="1" applyFill="1" applyBorder="1" applyAlignment="1">
      <alignment horizontal="center" vertical="center"/>
    </xf>
    <xf numFmtId="0" fontId="0" fillId="8" borderId="2" xfId="0" applyFill="1" applyBorder="1"/>
    <xf numFmtId="176" fontId="0" fillId="7" borderId="8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77" fontId="0" fillId="8" borderId="1" xfId="0" applyNumberFormat="1" applyFill="1" applyBorder="1" applyAlignment="1">
      <alignment horizontal="right" vertical="center"/>
    </xf>
    <xf numFmtId="3" fontId="0" fillId="8" borderId="1" xfId="0" applyNumberFormat="1" applyFill="1" applyBorder="1" applyAlignment="1">
      <alignment horizontal="right" vertical="center"/>
    </xf>
    <xf numFmtId="41" fontId="0" fillId="0" borderId="1" xfId="1" applyFont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41" fontId="0" fillId="19" borderId="1" xfId="1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9" fillId="0" borderId="0" xfId="2"/>
    <xf numFmtId="0" fontId="9" fillId="21" borderId="16" xfId="2" applyFill="1" applyBorder="1" applyAlignment="1">
      <alignment horizontal="center" vertical="center"/>
    </xf>
    <xf numFmtId="0" fontId="9" fillId="0" borderId="0" xfId="2" applyAlignment="1">
      <alignment horizontal="center" vertical="center"/>
    </xf>
    <xf numFmtId="0" fontId="9" fillId="21" borderId="0" xfId="2" applyFill="1" applyAlignment="1">
      <alignment horizontal="center" vertical="center"/>
    </xf>
    <xf numFmtId="14" fontId="9" fillId="0" borderId="17" xfId="2" applyNumberFormat="1" applyBorder="1" applyAlignment="1">
      <alignment horizontal="center" vertical="center"/>
    </xf>
    <xf numFmtId="0" fontId="9" fillId="0" borderId="17" xfId="2" applyBorder="1" applyAlignment="1">
      <alignment horizontal="center" vertical="center"/>
    </xf>
    <xf numFmtId="0" fontId="9" fillId="0" borderId="16" xfId="2" applyBorder="1"/>
    <xf numFmtId="0" fontId="9" fillId="0" borderId="0" xfId="2" applyAlignment="1">
      <alignment vertical="center"/>
    </xf>
    <xf numFmtId="0" fontId="9" fillId="0" borderId="17" xfId="2" applyBorder="1" applyAlignment="1">
      <alignment vertical="center"/>
    </xf>
    <xf numFmtId="0" fontId="9" fillId="0" borderId="16" xfId="2" applyBorder="1" applyAlignment="1">
      <alignment horizontal="center" vertical="center"/>
    </xf>
    <xf numFmtId="41" fontId="9" fillId="0" borderId="0" xfId="2" applyNumberFormat="1" applyAlignment="1">
      <alignment horizontal="center" vertical="center"/>
    </xf>
    <xf numFmtId="41" fontId="9" fillId="0" borderId="17" xfId="2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176" fontId="0" fillId="16" borderId="6" xfId="0" applyNumberForma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176" fontId="0" fillId="16" borderId="8" xfId="0" applyNumberForma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177" fontId="0" fillId="9" borderId="11" xfId="0" applyNumberFormat="1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177" fontId="0" fillId="9" borderId="12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20" fontId="0" fillId="5" borderId="1" xfId="0" applyNumberFormat="1" applyFill="1" applyBorder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/>
    </xf>
    <xf numFmtId="20" fontId="0" fillId="4" borderId="1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20" fontId="0" fillId="5" borderId="4" xfId="0" applyNumberFormat="1" applyFill="1" applyBorder="1" applyAlignment="1">
      <alignment horizontal="center" vertical="center"/>
    </xf>
    <xf numFmtId="177" fontId="0" fillId="5" borderId="5" xfId="0" applyNumberFormat="1" applyFill="1" applyBorder="1" applyAlignment="1">
      <alignment horizontal="center" vertical="center"/>
    </xf>
    <xf numFmtId="177" fontId="0" fillId="5" borderId="25" xfId="0" applyNumberFormat="1" applyFill="1" applyBorder="1" applyAlignment="1">
      <alignment horizontal="center" vertical="center"/>
    </xf>
    <xf numFmtId="177" fontId="0" fillId="5" borderId="28" xfId="0" applyNumberFormat="1" applyFill="1" applyBorder="1" applyAlignment="1">
      <alignment horizontal="center" vertical="center"/>
    </xf>
    <xf numFmtId="177" fontId="0" fillId="10" borderId="25" xfId="0" applyNumberFormat="1" applyFill="1" applyBorder="1" applyAlignment="1">
      <alignment horizontal="center" vertical="center"/>
    </xf>
    <xf numFmtId="177" fontId="0" fillId="10" borderId="28" xfId="0" applyNumberFormat="1" applyFill="1" applyBorder="1" applyAlignment="1">
      <alignment horizontal="center" vertical="center"/>
    </xf>
    <xf numFmtId="177" fontId="0" fillId="22" borderId="25" xfId="0" applyNumberFormat="1" applyFill="1" applyBorder="1" applyAlignment="1">
      <alignment horizontal="center" vertical="center"/>
    </xf>
    <xf numFmtId="177" fontId="0" fillId="22" borderId="28" xfId="0" applyNumberFormat="1" applyFill="1" applyBorder="1" applyAlignment="1">
      <alignment horizontal="center" vertical="center"/>
    </xf>
    <xf numFmtId="177" fontId="0" fillId="23" borderId="25" xfId="0" applyNumberFormat="1" applyFill="1" applyBorder="1" applyAlignment="1">
      <alignment horizontal="center" vertical="center"/>
    </xf>
    <xf numFmtId="177" fontId="0" fillId="23" borderId="28" xfId="0" applyNumberFormat="1" applyFill="1" applyBorder="1" applyAlignment="1">
      <alignment horizontal="center" vertical="center"/>
    </xf>
    <xf numFmtId="20" fontId="0" fillId="4" borderId="2" xfId="0" applyNumberFormat="1" applyFill="1" applyBorder="1" applyAlignment="1">
      <alignment horizontal="center" vertical="center"/>
    </xf>
    <xf numFmtId="20" fontId="0" fillId="3" borderId="2" xfId="0" applyNumberFormat="1" applyFill="1" applyBorder="1" applyAlignment="1">
      <alignment horizontal="center" vertical="center"/>
    </xf>
    <xf numFmtId="20" fontId="0" fillId="6" borderId="2" xfId="0" applyNumberFormat="1" applyFill="1" applyBorder="1" applyAlignment="1">
      <alignment horizontal="center" vertical="center"/>
    </xf>
    <xf numFmtId="0" fontId="0" fillId="25" borderId="8" xfId="0" applyFill="1" applyBorder="1" applyAlignment="1">
      <alignment horizontal="center" vertical="center"/>
    </xf>
    <xf numFmtId="0" fontId="0" fillId="25" borderId="9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177" fontId="0" fillId="26" borderId="25" xfId="0" applyNumberFormat="1" applyFill="1" applyBorder="1" applyAlignment="1">
      <alignment horizontal="center" vertical="center"/>
    </xf>
    <xf numFmtId="0" fontId="0" fillId="25" borderId="6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177" fontId="0" fillId="26" borderId="28" xfId="0" applyNumberFormat="1" applyFill="1" applyBorder="1" applyAlignment="1">
      <alignment horizontal="center" vertical="center"/>
    </xf>
    <xf numFmtId="20" fontId="0" fillId="25" borderId="1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center" vertical="center"/>
    </xf>
    <xf numFmtId="0" fontId="0" fillId="16" borderId="22" xfId="0" applyFill="1" applyBorder="1" applyAlignment="1">
      <alignment horizontal="center"/>
    </xf>
    <xf numFmtId="0" fontId="0" fillId="16" borderId="24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1" fillId="13" borderId="3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13" borderId="26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1" fillId="24" borderId="3" xfId="0" applyFont="1" applyFill="1" applyBorder="1" applyAlignment="1">
      <alignment horizontal="center" vertical="center"/>
    </xf>
    <xf numFmtId="0" fontId="1" fillId="24" borderId="4" xfId="0" applyFont="1" applyFill="1" applyBorder="1" applyAlignment="1">
      <alignment horizontal="center" vertical="center"/>
    </xf>
    <xf numFmtId="0" fontId="1" fillId="24" borderId="5" xfId="0" applyFont="1" applyFill="1" applyBorder="1" applyAlignment="1">
      <alignment horizontal="center" vertical="center"/>
    </xf>
    <xf numFmtId="0" fontId="1" fillId="7" borderId="27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179" fontId="1" fillId="17" borderId="12" xfId="0" applyNumberFormat="1" applyFont="1" applyFill="1" applyBorder="1" applyAlignment="1">
      <alignment horizontal="left" vertical="center"/>
    </xf>
    <xf numFmtId="0" fontId="0" fillId="8" borderId="11" xfId="0" applyFill="1" applyBorder="1" applyAlignment="1">
      <alignment horizontal="left"/>
    </xf>
    <xf numFmtId="0" fontId="0" fillId="8" borderId="12" xfId="0" applyFill="1" applyBorder="1" applyAlignment="1">
      <alignment horizontal="left"/>
    </xf>
    <xf numFmtId="0" fontId="0" fillId="8" borderId="1" xfId="0" applyFill="1" applyBorder="1" applyAlignment="1">
      <alignment horizontal="right" vertical="center"/>
    </xf>
    <xf numFmtId="0" fontId="0" fillId="8" borderId="11" xfId="0" applyFill="1" applyBorder="1" applyAlignment="1">
      <alignment horizontal="right"/>
    </xf>
    <xf numFmtId="178" fontId="7" fillId="8" borderId="0" xfId="0" applyNumberFormat="1" applyFont="1" applyFill="1" applyAlignment="1">
      <alignment horizontal="center" vertical="center"/>
    </xf>
    <xf numFmtId="0" fontId="8" fillId="8" borderId="0" xfId="0" applyFont="1" applyFill="1"/>
    <xf numFmtId="0" fontId="0" fillId="8" borderId="2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41" fontId="0" fillId="8" borderId="21" xfId="0" applyNumberFormat="1" applyFill="1" applyBorder="1" applyAlignment="1">
      <alignment horizontal="center" vertical="center"/>
    </xf>
    <xf numFmtId="41" fontId="0" fillId="8" borderId="2" xfId="0" applyNumberFormat="1" applyFill="1" applyBorder="1" applyAlignment="1">
      <alignment horizontal="center" vertical="center"/>
    </xf>
    <xf numFmtId="0" fontId="9" fillId="0" borderId="18" xfId="2" applyBorder="1" applyAlignment="1">
      <alignment horizontal="center" vertical="center"/>
    </xf>
    <xf numFmtId="0" fontId="9" fillId="0" borderId="19" xfId="2" applyBorder="1" applyAlignment="1">
      <alignment horizontal="center" vertical="center"/>
    </xf>
    <xf numFmtId="0" fontId="9" fillId="0" borderId="20" xfId="2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41" fontId="9" fillId="0" borderId="0" xfId="2" applyNumberFormat="1" applyAlignment="1">
      <alignment horizontal="center" vertical="center"/>
    </xf>
    <xf numFmtId="0" fontId="9" fillId="0" borderId="0" xfId="2" applyAlignment="1">
      <alignment horizontal="center" vertical="center"/>
    </xf>
    <xf numFmtId="0" fontId="9" fillId="0" borderId="17" xfId="2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20" fontId="0" fillId="26" borderId="2" xfId="0" applyNumberFormat="1" applyFill="1" applyBorder="1" applyAlignment="1">
      <alignment horizontal="center" vertical="center"/>
    </xf>
    <xf numFmtId="0" fontId="0" fillId="26" borderId="6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/>
  </cellStyles>
  <dxfs count="2">
    <dxf>
      <font>
        <color rgb="FFFF0000"/>
      </font>
    </dxf>
    <dxf>
      <font>
        <color rgb="FF00B0F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AN33"/>
  <sheetViews>
    <sheetView tabSelected="1" zoomScale="90" zoomScaleNormal="90" workbookViewId="0">
      <selection activeCell="I11" sqref="I11"/>
    </sheetView>
  </sheetViews>
  <sheetFormatPr defaultRowHeight="16.5" x14ac:dyDescent="0.3"/>
  <cols>
    <col min="1" max="1" width="12" customWidth="1"/>
    <col min="2" max="2" width="9" style="6"/>
    <col min="3" max="22" width="9" customWidth="1"/>
    <col min="23" max="23" width="9" style="6" customWidth="1"/>
    <col min="24" max="24" width="3.5" bestFit="1" customWidth="1"/>
    <col min="25" max="25" width="13.375" customWidth="1"/>
    <col min="26" max="26" width="16" customWidth="1"/>
    <col min="27" max="27" width="11.625" bestFit="1" customWidth="1"/>
    <col min="40" max="40" width="13" hidden="1" customWidth="1"/>
  </cols>
  <sheetData>
    <row r="1" spans="1:40" ht="17.25" thickBot="1" x14ac:dyDescent="0.35">
      <c r="A1" s="107" t="s">
        <v>56</v>
      </c>
      <c r="B1" s="109" t="s">
        <v>57</v>
      </c>
      <c r="C1" s="111" t="s">
        <v>0</v>
      </c>
      <c r="D1" s="112"/>
      <c r="E1" s="112"/>
      <c r="F1" s="113"/>
      <c r="G1" s="114" t="s">
        <v>1</v>
      </c>
      <c r="H1" s="115"/>
      <c r="I1" s="115"/>
      <c r="J1" s="116"/>
      <c r="K1" s="117" t="s">
        <v>2</v>
      </c>
      <c r="L1" s="118"/>
      <c r="M1" s="118"/>
      <c r="N1" s="119"/>
      <c r="O1" s="104" t="s">
        <v>3</v>
      </c>
      <c r="P1" s="105"/>
      <c r="Q1" s="105"/>
      <c r="R1" s="106"/>
      <c r="S1" s="120" t="s">
        <v>61</v>
      </c>
      <c r="T1" s="121"/>
      <c r="U1" s="121"/>
      <c r="V1" s="122"/>
      <c r="W1" s="52"/>
      <c r="X1" s="38"/>
      <c r="Y1" s="123" t="s">
        <v>58</v>
      </c>
      <c r="Z1" s="124"/>
      <c r="AA1" s="125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7.25" thickBot="1" x14ac:dyDescent="0.35">
      <c r="A2" s="108"/>
      <c r="B2" s="110"/>
      <c r="C2" s="50" t="s">
        <v>9</v>
      </c>
      <c r="D2" s="51" t="s">
        <v>10</v>
      </c>
      <c r="E2" s="51" t="s">
        <v>11</v>
      </c>
      <c r="F2" s="70" t="s">
        <v>12</v>
      </c>
      <c r="G2" s="59" t="s">
        <v>9</v>
      </c>
      <c r="H2" s="60" t="s">
        <v>10</v>
      </c>
      <c r="I2" s="60" t="s">
        <v>11</v>
      </c>
      <c r="J2" s="71" t="s">
        <v>12</v>
      </c>
      <c r="K2" s="62" t="s">
        <v>9</v>
      </c>
      <c r="L2" s="63" t="s">
        <v>10</v>
      </c>
      <c r="M2" s="63" t="s">
        <v>11</v>
      </c>
      <c r="N2" s="72" t="s">
        <v>12</v>
      </c>
      <c r="O2" s="65" t="s">
        <v>9</v>
      </c>
      <c r="P2" s="66" t="s">
        <v>10</v>
      </c>
      <c r="Q2" s="66" t="s">
        <v>11</v>
      </c>
      <c r="R2" s="73" t="s">
        <v>12</v>
      </c>
      <c r="S2" s="91" t="s">
        <v>9</v>
      </c>
      <c r="T2" s="92" t="s">
        <v>10</v>
      </c>
      <c r="U2" s="92" t="s">
        <v>11</v>
      </c>
      <c r="V2" s="93" t="s">
        <v>12</v>
      </c>
      <c r="W2" s="53"/>
      <c r="X2" s="40"/>
      <c r="Y2" s="41" t="s">
        <v>4</v>
      </c>
      <c r="Z2" s="41" t="s">
        <v>59</v>
      </c>
      <c r="AA2" s="100" t="s">
        <v>60</v>
      </c>
      <c r="AB2" s="99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 t="s">
        <v>6</v>
      </c>
    </row>
    <row r="3" spans="1:40" x14ac:dyDescent="0.3">
      <c r="A3" s="45">
        <v>46054</v>
      </c>
      <c r="B3" s="46" t="str">
        <f>TEXT(A3, "aaa")</f>
        <v>일</v>
      </c>
      <c r="C3" s="77"/>
      <c r="D3" s="78"/>
      <c r="E3" s="78"/>
      <c r="F3" s="79" t="str">
        <f>IF(OR(D3="", E3=""), "", MOD(E3-D3,1)*24 - IF(MOD(E3-D3,1)*24 &gt;= 8, 1, IF(MOD(E3-D3,1)*24 &gt;= 4, 0.5, 0)))</f>
        <v/>
      </c>
      <c r="G3" s="67"/>
      <c r="H3" s="88"/>
      <c r="I3" s="88"/>
      <c r="J3" s="82" t="str">
        <f>IF(OR(H3="", I3=""), "", MOD(I3-H3,1)*24 - IF(MOD(I3-H3,1)*24 &gt;= 8, 1, IF(MOD(I3-H3,1)*24 &gt;= 4, 0.5, 0)))</f>
        <v/>
      </c>
      <c r="K3" s="68"/>
      <c r="L3" s="89"/>
      <c r="M3" s="89"/>
      <c r="N3" s="84" t="str">
        <f>IF(OR(L3="", M3=""), "", MOD(M3-L3,1)*24 - IF(MOD(M3-L3,1)*24 &gt;= 8, 1, IF(MOD(M3-L3,1)*24 &gt;= 4, 0.5, 0)))</f>
        <v/>
      </c>
      <c r="O3" s="69"/>
      <c r="P3" s="90"/>
      <c r="Q3" s="90"/>
      <c r="R3" s="86" t="str">
        <f>IF(OR(P3="", Q3=""), "", MOD(Q3-P3,1)*24 - IF(MOD(Q3-P3,1)*24 &gt;= 8, 1, IF(MOD(Q3-P3,1)*24 &gt;= 4, 0.5, 0)))</f>
        <v/>
      </c>
      <c r="S3" s="155"/>
      <c r="T3" s="156"/>
      <c r="U3" s="156"/>
      <c r="V3" s="94" t="str">
        <f>IF(OR(T3="", U3=""), "", MOD(U3-T3,1)*24 - IF(MOD(U3-T3,1)*24 &gt;= 8, 1, IF(MOD(U3-T3,1)*24 &gt;= 4, 0.5, 0)))</f>
        <v/>
      </c>
      <c r="W3" s="54"/>
      <c r="X3" s="42">
        <v>1</v>
      </c>
      <c r="Y3" s="21" t="s">
        <v>13</v>
      </c>
      <c r="Z3" s="3">
        <f>SUMIF($C$3:$C$33, $Y3, $F$3:$F$33)+SUMIF($G$3:$G$33, $Y3, $J$3:$J$33)+SUMIF($K$3:$K$33, $Y3, $N$3:$N$33)+SUMIF($S$3:$S$33, $Y3, $V$3:$V$33)+SUMIF($O$3:$O$33, $Y3, $R$3:$R$33)</f>
        <v>0</v>
      </c>
      <c r="AA3" s="101">
        <f>COUNTIF($C$3:$C$33, $Y3) + COUNTIF($G$3:$G$33, $Y3) + COUNTIF($K$3:$K$33, $Y3) + COUNTIF($S$3:$S$33, $Y3)+ COUNTIF($O$3:$O$33, $Y3)</f>
        <v>0</v>
      </c>
      <c r="AB3" s="99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>
        <f t="shared" ref="AN3:AN32" si="0">IF(A3="", 0, WEEKNUM(A3, 2))</f>
        <v>5</v>
      </c>
    </row>
    <row r="4" spans="1:40" x14ac:dyDescent="0.3">
      <c r="A4" s="45">
        <f t="shared" ref="A4:A32" si="1">IF(A3="","",IF(MONTH(A3+1)&lt;&gt;MONTH($A$3),"",A3+1))</f>
        <v>46055</v>
      </c>
      <c r="B4" s="46" t="str">
        <f t="shared" ref="B4:B32" si="2">IF(A4="","",TEXT(A4, "aaa"))</f>
        <v>월</v>
      </c>
      <c r="C4" s="49"/>
      <c r="D4" s="74"/>
      <c r="E4" s="74"/>
      <c r="F4" s="80" t="str">
        <f t="shared" ref="F4:F7" si="3">IF(OR(D4="", E4=""), "", MOD(E4-D4,1)*24 - IF(MOD(E4-D4,1)*24 &gt;= 8, 1, IF(MOD(E4-D4,1)*24 &gt;= 4, 0.5, 0)))</f>
        <v/>
      </c>
      <c r="G4" s="58"/>
      <c r="H4" s="76"/>
      <c r="I4" s="76"/>
      <c r="J4" s="82" t="str">
        <f t="shared" ref="J4:J7" si="4">IF(OR(H4="", I4=""), "", MOD(I4-H4,1)*24 - IF(MOD(I4-H4,1)*24 &gt;= 8, 1, IF(MOD(I4-H4,1)*24 &gt;= 4, 0.5, 0)))</f>
        <v/>
      </c>
      <c r="K4" s="61"/>
      <c r="L4" s="36"/>
      <c r="M4" s="36"/>
      <c r="N4" s="84" t="str">
        <f t="shared" ref="N4:N7" si="5">IF(OR(L4="", M4=""), "", MOD(M4-L4,1)*24 - IF(MOD(M4-L4,1)*24 &gt;= 8, 1, IF(MOD(M4-L4,1)*24 &gt;= 4, 0.5, 0)))</f>
        <v/>
      </c>
      <c r="O4" s="64"/>
      <c r="P4" s="37"/>
      <c r="Q4" s="37"/>
      <c r="R4" s="86" t="str">
        <f t="shared" ref="R4:R7" si="6">IF(OR(P4="", Q4=""), "", MOD(Q4-P4,1)*24 - IF(MOD(Q4-P4,1)*24 &gt;= 8, 1, IF(MOD(Q4-P4,1)*24 &gt;= 4, 0.5, 0)))</f>
        <v/>
      </c>
      <c r="S4" s="157"/>
      <c r="T4" s="158"/>
      <c r="U4" s="158"/>
      <c r="V4" s="94" t="str">
        <f t="shared" ref="V4:V7" si="7">IF(OR(T4="", U4=""), "", MOD(U4-T4,1)*24 - IF(MOD(U4-T4,1)*24 &gt;= 8, 1, IF(MOD(U4-T4,1)*24 &gt;= 4, 0.5, 0)))</f>
        <v/>
      </c>
      <c r="W4" s="54"/>
      <c r="X4" s="42">
        <v>2</v>
      </c>
      <c r="Y4" s="21" t="s">
        <v>14</v>
      </c>
      <c r="Z4" s="3">
        <f t="shared" ref="Z4:Z16" si="8">SUMIF($C$3:$C$33, $Y4, $F$3:$F$33)+SUMIF($G$3:$G$33, $Y4, $J$3:$J$33)+SUMIF($K$3:$K$33, $Y4, $N$3:$N$33)+SUMIF($S$3:$S$33, $Y4, $V$3:$V$33)+SUMIF($O$3:$O$33, $Y4, $R$3:$R$33)</f>
        <v>0</v>
      </c>
      <c r="AA4" s="101">
        <f t="shared" ref="AA4:AA16" si="9">COUNTIF($C$3:$C$33, $Y4) + COUNTIF($G$3:$G$33, $Y4) + COUNTIF($K$3:$K$33, $Y4) + COUNTIF($S$3:$S$33, $Y4)+ COUNTIF($O$3:$O$33, $Y4)</f>
        <v>0</v>
      </c>
      <c r="AB4" s="99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>
        <f t="shared" si="0"/>
        <v>6</v>
      </c>
    </row>
    <row r="5" spans="1:40" x14ac:dyDescent="0.3">
      <c r="A5" s="45">
        <f t="shared" si="1"/>
        <v>46056</v>
      </c>
      <c r="B5" s="46" t="str">
        <f t="shared" si="2"/>
        <v>화</v>
      </c>
      <c r="C5" s="49"/>
      <c r="D5" s="74"/>
      <c r="E5" s="74"/>
      <c r="F5" s="80" t="str">
        <f t="shared" si="3"/>
        <v/>
      </c>
      <c r="G5" s="58"/>
      <c r="H5" s="76"/>
      <c r="I5" s="76"/>
      <c r="J5" s="82" t="str">
        <f t="shared" si="4"/>
        <v/>
      </c>
      <c r="K5" s="61"/>
      <c r="L5" s="36"/>
      <c r="M5" s="36"/>
      <c r="N5" s="84" t="str">
        <f t="shared" si="5"/>
        <v/>
      </c>
      <c r="O5" s="64"/>
      <c r="P5" s="37"/>
      <c r="Q5" s="37"/>
      <c r="R5" s="86" t="str">
        <f t="shared" si="6"/>
        <v/>
      </c>
      <c r="S5" s="157"/>
      <c r="T5" s="158"/>
      <c r="U5" s="158"/>
      <c r="V5" s="94" t="str">
        <f t="shared" si="7"/>
        <v/>
      </c>
      <c r="W5" s="55"/>
      <c r="X5" s="42">
        <v>3</v>
      </c>
      <c r="Y5" s="21" t="s">
        <v>17</v>
      </c>
      <c r="Z5" s="3">
        <f t="shared" si="8"/>
        <v>0</v>
      </c>
      <c r="AA5" s="101">
        <f t="shared" si="9"/>
        <v>0</v>
      </c>
      <c r="AB5" s="99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>
        <f t="shared" si="0"/>
        <v>6</v>
      </c>
    </row>
    <row r="6" spans="1:40" x14ac:dyDescent="0.3">
      <c r="A6" s="45">
        <f t="shared" si="1"/>
        <v>46057</v>
      </c>
      <c r="B6" s="46" t="str">
        <f t="shared" si="2"/>
        <v>수</v>
      </c>
      <c r="C6" s="49"/>
      <c r="D6" s="74"/>
      <c r="E6" s="74"/>
      <c r="F6" s="80" t="str">
        <f t="shared" si="3"/>
        <v/>
      </c>
      <c r="G6" s="58"/>
      <c r="H6" s="34"/>
      <c r="I6" s="34"/>
      <c r="J6" s="82" t="str">
        <f t="shared" si="4"/>
        <v/>
      </c>
      <c r="K6" s="61"/>
      <c r="L6" s="36"/>
      <c r="M6" s="36"/>
      <c r="N6" s="84" t="str">
        <f t="shared" si="5"/>
        <v/>
      </c>
      <c r="O6" s="64"/>
      <c r="P6" s="37"/>
      <c r="Q6" s="37"/>
      <c r="R6" s="86" t="str">
        <f t="shared" si="6"/>
        <v/>
      </c>
      <c r="S6" s="157"/>
      <c r="T6" s="158"/>
      <c r="U6" s="158"/>
      <c r="V6" s="94" t="str">
        <f t="shared" si="7"/>
        <v/>
      </c>
      <c r="W6" s="55"/>
      <c r="X6" s="42">
        <v>4</v>
      </c>
      <c r="Y6" s="21" t="s">
        <v>16</v>
      </c>
      <c r="Z6" s="3">
        <f t="shared" si="8"/>
        <v>0</v>
      </c>
      <c r="AA6" s="101">
        <f t="shared" si="9"/>
        <v>0</v>
      </c>
      <c r="AB6" s="99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>
        <f t="shared" si="0"/>
        <v>6</v>
      </c>
    </row>
    <row r="7" spans="1:40" x14ac:dyDescent="0.3">
      <c r="A7" s="45">
        <f t="shared" si="1"/>
        <v>46058</v>
      </c>
      <c r="B7" s="46" t="str">
        <f t="shared" si="2"/>
        <v>목</v>
      </c>
      <c r="C7" s="49"/>
      <c r="D7" s="74"/>
      <c r="E7" s="74"/>
      <c r="F7" s="80" t="str">
        <f t="shared" si="3"/>
        <v/>
      </c>
      <c r="G7" s="58"/>
      <c r="H7" s="34"/>
      <c r="I7" s="34"/>
      <c r="J7" s="82" t="str">
        <f t="shared" si="4"/>
        <v/>
      </c>
      <c r="K7" s="61"/>
      <c r="L7" s="36"/>
      <c r="M7" s="36"/>
      <c r="N7" s="84" t="str">
        <f t="shared" si="5"/>
        <v/>
      </c>
      <c r="O7" s="64"/>
      <c r="P7" s="37"/>
      <c r="Q7" s="37"/>
      <c r="R7" s="86" t="str">
        <f t="shared" si="6"/>
        <v/>
      </c>
      <c r="S7" s="157"/>
      <c r="T7" s="158"/>
      <c r="U7" s="158"/>
      <c r="V7" s="94" t="str">
        <f t="shared" si="7"/>
        <v/>
      </c>
      <c r="W7" s="55"/>
      <c r="X7" s="42">
        <v>5</v>
      </c>
      <c r="Y7" s="21" t="s">
        <v>15</v>
      </c>
      <c r="Z7" s="3">
        <f t="shared" si="8"/>
        <v>0</v>
      </c>
      <c r="AA7" s="101">
        <f t="shared" si="9"/>
        <v>0</v>
      </c>
      <c r="AB7" s="99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>
        <f t="shared" si="0"/>
        <v>6</v>
      </c>
    </row>
    <row r="8" spans="1:40" x14ac:dyDescent="0.3">
      <c r="A8" s="45">
        <f t="shared" si="1"/>
        <v>46059</v>
      </c>
      <c r="B8" s="46" t="str">
        <f t="shared" si="2"/>
        <v>금</v>
      </c>
      <c r="C8" s="49"/>
      <c r="D8" s="35"/>
      <c r="E8" s="74"/>
      <c r="F8" s="80" t="str">
        <f t="shared" ref="F8:F33" si="10">IF(OR(D8="", E8=""), "", MOD(E8-D8,1)*24 - IF(MOD(E8-D8,1)*24 &gt;= 8, 1, IF(MOD(E8-D8,1)*24 &gt;= 4, 0.5, 0)))</f>
        <v/>
      </c>
      <c r="G8" s="58"/>
      <c r="H8" s="34"/>
      <c r="I8" s="34"/>
      <c r="J8" s="82" t="str">
        <f t="shared" ref="J8:J33" si="11">IF(OR(H8="", I8=""), "", MOD(I8-H8,1)*24 - IF(MOD(I8-H8,1)*24 &gt;= 8, 1, IF(MOD(I8-H8,1)*24 &gt;= 4, 0.5, 0)))</f>
        <v/>
      </c>
      <c r="K8" s="61"/>
      <c r="L8" s="36"/>
      <c r="M8" s="36"/>
      <c r="N8" s="84" t="str">
        <f t="shared" ref="N8:N33" si="12">IF(OR(L8="", M8=""), "", MOD(M8-L8,1)*24 - IF(MOD(M8-L8,1)*24 &gt;= 8, 1, IF(MOD(M8-L8,1)*24 &gt;= 4, 0.5, 0)))</f>
        <v/>
      </c>
      <c r="O8" s="64"/>
      <c r="P8" s="37"/>
      <c r="Q8" s="37"/>
      <c r="R8" s="86" t="str">
        <f t="shared" ref="R8:R33" si="13">IF(OR(P8="", Q8=""), "", MOD(Q8-P8,1)*24 - IF(MOD(Q8-P8,1)*24 &gt;= 8, 1, IF(MOD(Q8-P8,1)*24 &gt;= 4, 0.5, 0)))</f>
        <v/>
      </c>
      <c r="S8" s="95"/>
      <c r="T8" s="96"/>
      <c r="U8" s="96"/>
      <c r="V8" s="94" t="str">
        <f t="shared" ref="V8:V33" si="14">IF(OR(T8="", U8=""), "", MOD(U8-T8,1)*24 - IF(MOD(U8-T8,1)*24 &gt;= 8, 1, IF(MOD(U8-T8,1)*24 &gt;= 4, 0.5, 0)))</f>
        <v/>
      </c>
      <c r="W8" s="55"/>
      <c r="X8" s="42">
        <v>6</v>
      </c>
      <c r="Y8" s="21" t="s">
        <v>7</v>
      </c>
      <c r="Z8" s="3">
        <f t="shared" si="8"/>
        <v>0</v>
      </c>
      <c r="AA8" s="101">
        <f t="shared" si="9"/>
        <v>0</v>
      </c>
      <c r="AB8" s="99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>
        <f t="shared" si="0"/>
        <v>6</v>
      </c>
    </row>
    <row r="9" spans="1:40" x14ac:dyDescent="0.3">
      <c r="A9" s="45">
        <f t="shared" si="1"/>
        <v>46060</v>
      </c>
      <c r="B9" s="46" t="str">
        <f t="shared" si="2"/>
        <v>토</v>
      </c>
      <c r="C9" s="49"/>
      <c r="D9" s="35"/>
      <c r="E9" s="35"/>
      <c r="F9" s="80" t="str">
        <f t="shared" si="10"/>
        <v/>
      </c>
      <c r="G9" s="58"/>
      <c r="H9" s="34"/>
      <c r="I9" s="34"/>
      <c r="J9" s="82" t="str">
        <f t="shared" si="11"/>
        <v/>
      </c>
      <c r="K9" s="61"/>
      <c r="L9" s="36"/>
      <c r="M9" s="36"/>
      <c r="N9" s="84" t="str">
        <f t="shared" si="12"/>
        <v/>
      </c>
      <c r="O9" s="64"/>
      <c r="P9" s="37"/>
      <c r="Q9" s="37"/>
      <c r="R9" s="86" t="str">
        <f t="shared" si="13"/>
        <v/>
      </c>
      <c r="S9" s="95"/>
      <c r="T9" s="96"/>
      <c r="U9" s="96"/>
      <c r="V9" s="94" t="str">
        <f t="shared" si="14"/>
        <v/>
      </c>
      <c r="W9" s="54"/>
      <c r="X9" s="42">
        <v>7</v>
      </c>
      <c r="Y9" s="21" t="s">
        <v>8</v>
      </c>
      <c r="Z9" s="3">
        <f t="shared" si="8"/>
        <v>0</v>
      </c>
      <c r="AA9" s="101">
        <f t="shared" si="9"/>
        <v>0</v>
      </c>
      <c r="AB9" s="99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>
        <f t="shared" si="0"/>
        <v>6</v>
      </c>
    </row>
    <row r="10" spans="1:40" x14ac:dyDescent="0.3">
      <c r="A10" s="45">
        <f t="shared" si="1"/>
        <v>46061</v>
      </c>
      <c r="B10" s="46" t="str">
        <f t="shared" si="2"/>
        <v>일</v>
      </c>
      <c r="C10" s="49"/>
      <c r="D10" s="35"/>
      <c r="E10" s="35"/>
      <c r="F10" s="80" t="str">
        <f t="shared" si="10"/>
        <v/>
      </c>
      <c r="G10" s="58"/>
      <c r="H10" s="34"/>
      <c r="I10" s="34"/>
      <c r="J10" s="82" t="str">
        <f t="shared" si="11"/>
        <v/>
      </c>
      <c r="K10" s="61"/>
      <c r="L10" s="36"/>
      <c r="M10" s="36"/>
      <c r="N10" s="84" t="str">
        <f t="shared" si="12"/>
        <v/>
      </c>
      <c r="O10" s="64"/>
      <c r="P10" s="37"/>
      <c r="Q10" s="37"/>
      <c r="R10" s="86" t="str">
        <f t="shared" si="13"/>
        <v/>
      </c>
      <c r="S10" s="95"/>
      <c r="T10" s="98"/>
      <c r="U10" s="98"/>
      <c r="V10" s="94" t="str">
        <f t="shared" si="14"/>
        <v/>
      </c>
      <c r="W10" s="54"/>
      <c r="X10" s="42">
        <v>8</v>
      </c>
      <c r="Y10" s="21"/>
      <c r="Z10" s="3">
        <f t="shared" si="8"/>
        <v>0</v>
      </c>
      <c r="AA10" s="101">
        <f t="shared" si="9"/>
        <v>0</v>
      </c>
      <c r="AB10" s="99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>
        <f t="shared" si="0"/>
        <v>6</v>
      </c>
    </row>
    <row r="11" spans="1:40" x14ac:dyDescent="0.3">
      <c r="A11" s="45">
        <f t="shared" si="1"/>
        <v>46062</v>
      </c>
      <c r="B11" s="46" t="str">
        <f t="shared" si="2"/>
        <v>월</v>
      </c>
      <c r="C11" s="49"/>
      <c r="D11" s="35"/>
      <c r="E11" s="74"/>
      <c r="F11" s="80" t="str">
        <f t="shared" si="10"/>
        <v/>
      </c>
      <c r="G11" s="58"/>
      <c r="H11" s="34"/>
      <c r="I11" s="34"/>
      <c r="J11" s="82" t="str">
        <f t="shared" si="11"/>
        <v/>
      </c>
      <c r="K11" s="61"/>
      <c r="L11" s="36"/>
      <c r="M11" s="36"/>
      <c r="N11" s="84" t="str">
        <f t="shared" si="12"/>
        <v/>
      </c>
      <c r="O11" s="64"/>
      <c r="P11" s="37"/>
      <c r="Q11" s="37"/>
      <c r="R11" s="86" t="str">
        <f t="shared" si="13"/>
        <v/>
      </c>
      <c r="S11" s="95"/>
      <c r="T11" s="96"/>
      <c r="U11" s="96"/>
      <c r="V11" s="94" t="str">
        <f t="shared" si="14"/>
        <v/>
      </c>
      <c r="W11" s="54"/>
      <c r="X11" s="42">
        <v>9</v>
      </c>
      <c r="Y11" s="21"/>
      <c r="Z11" s="3">
        <f t="shared" si="8"/>
        <v>0</v>
      </c>
      <c r="AA11" s="101">
        <f t="shared" si="9"/>
        <v>0</v>
      </c>
      <c r="AB11" s="99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>
        <f t="shared" si="0"/>
        <v>7</v>
      </c>
    </row>
    <row r="12" spans="1:40" x14ac:dyDescent="0.3">
      <c r="A12" s="45">
        <f t="shared" si="1"/>
        <v>46063</v>
      </c>
      <c r="B12" s="46" t="str">
        <f t="shared" si="2"/>
        <v>화</v>
      </c>
      <c r="C12" s="49"/>
      <c r="D12" s="35"/>
      <c r="E12" s="74"/>
      <c r="F12" s="80" t="str">
        <f t="shared" si="10"/>
        <v/>
      </c>
      <c r="G12" s="58"/>
      <c r="H12" s="34"/>
      <c r="I12" s="34"/>
      <c r="J12" s="82" t="str">
        <f t="shared" si="11"/>
        <v/>
      </c>
      <c r="K12" s="61"/>
      <c r="L12" s="36"/>
      <c r="M12" s="36"/>
      <c r="N12" s="84" t="str">
        <f t="shared" si="12"/>
        <v/>
      </c>
      <c r="O12" s="64"/>
      <c r="P12" s="37"/>
      <c r="Q12" s="37"/>
      <c r="R12" s="86" t="str">
        <f t="shared" si="13"/>
        <v/>
      </c>
      <c r="S12" s="95"/>
      <c r="T12" s="96"/>
      <c r="U12" s="96"/>
      <c r="V12" s="94" t="str">
        <f t="shared" si="14"/>
        <v/>
      </c>
      <c r="W12" s="55"/>
      <c r="X12" s="42">
        <v>10</v>
      </c>
      <c r="Y12" s="21"/>
      <c r="Z12" s="3">
        <f t="shared" si="8"/>
        <v>0</v>
      </c>
      <c r="AA12" s="101">
        <f t="shared" si="9"/>
        <v>0</v>
      </c>
      <c r="AB12" s="99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>
        <f t="shared" si="0"/>
        <v>7</v>
      </c>
    </row>
    <row r="13" spans="1:40" x14ac:dyDescent="0.3">
      <c r="A13" s="45">
        <f t="shared" si="1"/>
        <v>46064</v>
      </c>
      <c r="B13" s="46" t="str">
        <f t="shared" si="2"/>
        <v>수</v>
      </c>
      <c r="C13" s="49"/>
      <c r="D13" s="35"/>
      <c r="E13" s="35"/>
      <c r="F13" s="80" t="str">
        <f t="shared" si="10"/>
        <v/>
      </c>
      <c r="G13" s="58"/>
      <c r="H13" s="34"/>
      <c r="I13" s="34"/>
      <c r="J13" s="82" t="str">
        <f t="shared" si="11"/>
        <v/>
      </c>
      <c r="K13" s="61"/>
      <c r="L13" s="36"/>
      <c r="M13" s="36"/>
      <c r="N13" s="84" t="str">
        <f t="shared" si="12"/>
        <v/>
      </c>
      <c r="O13" s="64"/>
      <c r="P13" s="37"/>
      <c r="Q13" s="37"/>
      <c r="R13" s="86" t="str">
        <f t="shared" si="13"/>
        <v/>
      </c>
      <c r="S13" s="95"/>
      <c r="T13" s="96"/>
      <c r="U13" s="96"/>
      <c r="V13" s="94" t="str">
        <f t="shared" si="14"/>
        <v/>
      </c>
      <c r="W13" s="55"/>
      <c r="X13" s="42">
        <v>11</v>
      </c>
      <c r="Y13" s="21"/>
      <c r="Z13" s="3">
        <f t="shared" si="8"/>
        <v>0</v>
      </c>
      <c r="AA13" s="101">
        <f t="shared" si="9"/>
        <v>0</v>
      </c>
      <c r="AB13" s="99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>
        <f t="shared" si="0"/>
        <v>7</v>
      </c>
    </row>
    <row r="14" spans="1:40" x14ac:dyDescent="0.3">
      <c r="A14" s="45">
        <f t="shared" si="1"/>
        <v>46065</v>
      </c>
      <c r="B14" s="46" t="str">
        <f t="shared" si="2"/>
        <v>목</v>
      </c>
      <c r="C14" s="49"/>
      <c r="D14" s="35"/>
      <c r="E14" s="35"/>
      <c r="F14" s="80" t="str">
        <f t="shared" si="10"/>
        <v/>
      </c>
      <c r="G14" s="58"/>
      <c r="H14" s="34"/>
      <c r="I14" s="34"/>
      <c r="J14" s="82" t="str">
        <f t="shared" si="11"/>
        <v/>
      </c>
      <c r="K14" s="61"/>
      <c r="L14" s="36"/>
      <c r="M14" s="36"/>
      <c r="N14" s="84" t="str">
        <f t="shared" si="12"/>
        <v/>
      </c>
      <c r="O14" s="64"/>
      <c r="P14" s="37"/>
      <c r="Q14" s="37"/>
      <c r="R14" s="86" t="str">
        <f t="shared" si="13"/>
        <v/>
      </c>
      <c r="S14" s="95"/>
      <c r="T14" s="96"/>
      <c r="U14" s="96"/>
      <c r="V14" s="94" t="str">
        <f t="shared" si="14"/>
        <v/>
      </c>
      <c r="W14" s="55"/>
      <c r="X14" s="42">
        <v>12</v>
      </c>
      <c r="Y14" s="21"/>
      <c r="Z14" s="3">
        <f t="shared" si="8"/>
        <v>0</v>
      </c>
      <c r="AA14" s="101">
        <f t="shared" si="9"/>
        <v>0</v>
      </c>
      <c r="AB14" s="99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>
        <f t="shared" si="0"/>
        <v>7</v>
      </c>
    </row>
    <row r="15" spans="1:40" x14ac:dyDescent="0.3">
      <c r="A15" s="45">
        <f t="shared" si="1"/>
        <v>46066</v>
      </c>
      <c r="B15" s="46" t="str">
        <f t="shared" si="2"/>
        <v>금</v>
      </c>
      <c r="C15" s="49"/>
      <c r="D15" s="35"/>
      <c r="E15" s="35"/>
      <c r="F15" s="80" t="str">
        <f t="shared" si="10"/>
        <v/>
      </c>
      <c r="G15" s="58"/>
      <c r="H15" s="34"/>
      <c r="I15" s="34"/>
      <c r="J15" s="82" t="str">
        <f t="shared" si="11"/>
        <v/>
      </c>
      <c r="K15" s="61"/>
      <c r="L15" s="36"/>
      <c r="M15" s="36"/>
      <c r="N15" s="84" t="str">
        <f t="shared" si="12"/>
        <v/>
      </c>
      <c r="O15" s="64"/>
      <c r="P15" s="37"/>
      <c r="Q15" s="37"/>
      <c r="R15" s="86" t="str">
        <f t="shared" si="13"/>
        <v/>
      </c>
      <c r="S15" s="95"/>
      <c r="T15" s="96"/>
      <c r="U15" s="96"/>
      <c r="V15" s="94" t="str">
        <f t="shared" si="14"/>
        <v/>
      </c>
      <c r="W15" s="55"/>
      <c r="X15" s="42">
        <v>13</v>
      </c>
      <c r="Y15" s="21"/>
      <c r="Z15" s="3">
        <f t="shared" si="8"/>
        <v>0</v>
      </c>
      <c r="AA15" s="101">
        <f t="shared" si="9"/>
        <v>0</v>
      </c>
      <c r="AB15" s="99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>
        <f t="shared" si="0"/>
        <v>7</v>
      </c>
    </row>
    <row r="16" spans="1:40" ht="17.25" thickBot="1" x14ac:dyDescent="0.35">
      <c r="A16" s="45">
        <f t="shared" si="1"/>
        <v>46067</v>
      </c>
      <c r="B16" s="46" t="str">
        <f t="shared" si="2"/>
        <v>토</v>
      </c>
      <c r="C16" s="49"/>
      <c r="D16" s="35"/>
      <c r="E16" s="35"/>
      <c r="F16" s="80" t="str">
        <f t="shared" si="10"/>
        <v/>
      </c>
      <c r="G16" s="58"/>
      <c r="H16" s="34"/>
      <c r="I16" s="34"/>
      <c r="J16" s="82" t="str">
        <f t="shared" si="11"/>
        <v/>
      </c>
      <c r="K16" s="61"/>
      <c r="L16" s="36"/>
      <c r="M16" s="36"/>
      <c r="N16" s="84" t="str">
        <f t="shared" si="12"/>
        <v/>
      </c>
      <c r="O16" s="64"/>
      <c r="P16" s="37"/>
      <c r="Q16" s="37"/>
      <c r="R16" s="86" t="str">
        <f t="shared" si="13"/>
        <v/>
      </c>
      <c r="S16" s="95"/>
      <c r="T16" s="96"/>
      <c r="U16" s="96"/>
      <c r="V16" s="94" t="str">
        <f t="shared" si="14"/>
        <v/>
      </c>
      <c r="W16" s="54"/>
      <c r="X16" s="43">
        <v>14</v>
      </c>
      <c r="Y16" s="44"/>
      <c r="Z16" s="102">
        <f t="shared" si="8"/>
        <v>0</v>
      </c>
      <c r="AA16" s="103">
        <f t="shared" si="9"/>
        <v>0</v>
      </c>
      <c r="AB16" s="99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>
        <f t="shared" si="0"/>
        <v>7</v>
      </c>
    </row>
    <row r="17" spans="1:40" x14ac:dyDescent="0.3">
      <c r="A17" s="45">
        <f t="shared" si="1"/>
        <v>46068</v>
      </c>
      <c r="B17" s="46" t="str">
        <f t="shared" si="2"/>
        <v>일</v>
      </c>
      <c r="C17" s="49"/>
      <c r="D17" s="35"/>
      <c r="E17" s="35"/>
      <c r="F17" s="80" t="str">
        <f t="shared" si="10"/>
        <v/>
      </c>
      <c r="G17" s="58"/>
      <c r="H17" s="34"/>
      <c r="I17" s="34"/>
      <c r="J17" s="82" t="str">
        <f t="shared" si="11"/>
        <v/>
      </c>
      <c r="K17" s="61"/>
      <c r="L17" s="36"/>
      <c r="M17" s="36"/>
      <c r="N17" s="84" t="str">
        <f t="shared" si="12"/>
        <v/>
      </c>
      <c r="O17" s="64"/>
      <c r="P17" s="37"/>
      <c r="Q17" s="37"/>
      <c r="R17" s="86" t="str">
        <f t="shared" si="13"/>
        <v/>
      </c>
      <c r="S17" s="95"/>
      <c r="T17" s="96"/>
      <c r="U17" s="96"/>
      <c r="V17" s="94" t="str">
        <f t="shared" si="14"/>
        <v/>
      </c>
      <c r="W17" s="56"/>
      <c r="X17" s="39"/>
      <c r="Y17" s="39"/>
      <c r="Z17" s="39"/>
      <c r="AA17" s="39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>
        <f t="shared" si="0"/>
        <v>7</v>
      </c>
    </row>
    <row r="18" spans="1:40" x14ac:dyDescent="0.3">
      <c r="A18" s="45">
        <f t="shared" si="1"/>
        <v>46069</v>
      </c>
      <c r="B18" s="46" t="str">
        <f t="shared" si="2"/>
        <v>월</v>
      </c>
      <c r="C18" s="49"/>
      <c r="D18" s="74"/>
      <c r="E18" s="35"/>
      <c r="F18" s="80" t="str">
        <f t="shared" si="10"/>
        <v/>
      </c>
      <c r="G18" s="58"/>
      <c r="H18" s="34"/>
      <c r="I18" s="34"/>
      <c r="J18" s="82" t="str">
        <f t="shared" si="11"/>
        <v/>
      </c>
      <c r="K18" s="61"/>
      <c r="L18" s="36"/>
      <c r="M18" s="36"/>
      <c r="N18" s="84" t="str">
        <f t="shared" si="12"/>
        <v/>
      </c>
      <c r="O18" s="64"/>
      <c r="P18" s="37"/>
      <c r="Q18" s="37"/>
      <c r="R18" s="86" t="str">
        <f t="shared" si="13"/>
        <v/>
      </c>
      <c r="S18" s="95"/>
      <c r="T18" s="96"/>
      <c r="U18" s="96"/>
      <c r="V18" s="94" t="str">
        <f t="shared" si="14"/>
        <v/>
      </c>
      <c r="W18" s="56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>
        <f t="shared" si="0"/>
        <v>8</v>
      </c>
    </row>
    <row r="19" spans="1:40" x14ac:dyDescent="0.3">
      <c r="A19" s="45">
        <f t="shared" si="1"/>
        <v>46070</v>
      </c>
      <c r="B19" s="46" t="str">
        <f t="shared" si="2"/>
        <v>화</v>
      </c>
      <c r="C19" s="49"/>
      <c r="D19" s="35"/>
      <c r="E19" s="35"/>
      <c r="F19" s="80" t="str">
        <f t="shared" si="10"/>
        <v/>
      </c>
      <c r="G19" s="58"/>
      <c r="H19" s="34"/>
      <c r="I19" s="34"/>
      <c r="J19" s="82" t="str">
        <f t="shared" si="11"/>
        <v/>
      </c>
      <c r="K19" s="61"/>
      <c r="L19" s="36"/>
      <c r="M19" s="36"/>
      <c r="N19" s="84" t="str">
        <f t="shared" si="12"/>
        <v/>
      </c>
      <c r="O19" s="64"/>
      <c r="P19" s="37"/>
      <c r="Q19" s="37"/>
      <c r="R19" s="86" t="str">
        <f t="shared" si="13"/>
        <v/>
      </c>
      <c r="S19" s="95"/>
      <c r="T19" s="96"/>
      <c r="U19" s="96"/>
      <c r="V19" s="94" t="str">
        <f t="shared" si="14"/>
        <v/>
      </c>
      <c r="W19" s="57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>
        <f t="shared" si="0"/>
        <v>8</v>
      </c>
    </row>
    <row r="20" spans="1:40" x14ac:dyDescent="0.3">
      <c r="A20" s="45">
        <f t="shared" si="1"/>
        <v>46071</v>
      </c>
      <c r="B20" s="46" t="str">
        <f t="shared" si="2"/>
        <v>수</v>
      </c>
      <c r="C20" s="49"/>
      <c r="D20" s="74"/>
      <c r="E20" s="74"/>
      <c r="F20" s="80" t="str">
        <f t="shared" si="10"/>
        <v/>
      </c>
      <c r="G20" s="58"/>
      <c r="H20" s="34"/>
      <c r="I20" s="34"/>
      <c r="J20" s="82" t="str">
        <f t="shared" si="11"/>
        <v/>
      </c>
      <c r="K20" s="61"/>
      <c r="L20" s="36"/>
      <c r="M20" s="36"/>
      <c r="N20" s="84" t="str">
        <f t="shared" si="12"/>
        <v/>
      </c>
      <c r="O20" s="64"/>
      <c r="P20" s="37"/>
      <c r="Q20" s="37"/>
      <c r="R20" s="86" t="str">
        <f t="shared" si="13"/>
        <v/>
      </c>
      <c r="S20" s="95"/>
      <c r="T20" s="96"/>
      <c r="U20" s="96"/>
      <c r="V20" s="94" t="str">
        <f t="shared" si="14"/>
        <v/>
      </c>
      <c r="W20" s="57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>
        <f t="shared" si="0"/>
        <v>8</v>
      </c>
    </row>
    <row r="21" spans="1:40" x14ac:dyDescent="0.3">
      <c r="A21" s="45">
        <f t="shared" si="1"/>
        <v>46072</v>
      </c>
      <c r="B21" s="46" t="str">
        <f t="shared" si="2"/>
        <v>목</v>
      </c>
      <c r="C21" s="49"/>
      <c r="D21" s="74"/>
      <c r="E21" s="74"/>
      <c r="F21" s="80" t="str">
        <f t="shared" si="10"/>
        <v/>
      </c>
      <c r="G21" s="58"/>
      <c r="H21" s="76"/>
      <c r="I21" s="76"/>
      <c r="J21" s="82" t="str">
        <f t="shared" si="11"/>
        <v/>
      </c>
      <c r="K21" s="61"/>
      <c r="L21" s="36"/>
      <c r="M21" s="36"/>
      <c r="N21" s="84" t="str">
        <f t="shared" si="12"/>
        <v/>
      </c>
      <c r="O21" s="64"/>
      <c r="P21" s="37"/>
      <c r="Q21" s="37"/>
      <c r="R21" s="86" t="str">
        <f t="shared" si="13"/>
        <v/>
      </c>
      <c r="S21" s="95"/>
      <c r="T21" s="96"/>
      <c r="U21" s="96"/>
      <c r="V21" s="94" t="str">
        <f t="shared" si="14"/>
        <v/>
      </c>
      <c r="W21" s="57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>
        <f t="shared" si="0"/>
        <v>8</v>
      </c>
    </row>
    <row r="22" spans="1:40" x14ac:dyDescent="0.3">
      <c r="A22" s="45">
        <f t="shared" si="1"/>
        <v>46073</v>
      </c>
      <c r="B22" s="46" t="str">
        <f t="shared" si="2"/>
        <v>금</v>
      </c>
      <c r="C22" s="49"/>
      <c r="D22" s="74"/>
      <c r="E22" s="74"/>
      <c r="F22" s="80" t="str">
        <f t="shared" si="10"/>
        <v/>
      </c>
      <c r="G22" s="58"/>
      <c r="H22" s="76"/>
      <c r="I22" s="76"/>
      <c r="J22" s="82" t="str">
        <f t="shared" si="11"/>
        <v/>
      </c>
      <c r="K22" s="61"/>
      <c r="L22" s="36"/>
      <c r="M22" s="36"/>
      <c r="N22" s="84" t="str">
        <f t="shared" si="12"/>
        <v/>
      </c>
      <c r="O22" s="64"/>
      <c r="P22" s="37"/>
      <c r="Q22" s="37"/>
      <c r="R22" s="86" t="str">
        <f t="shared" si="13"/>
        <v/>
      </c>
      <c r="S22" s="95"/>
      <c r="T22" s="96"/>
      <c r="U22" s="96"/>
      <c r="V22" s="94" t="str">
        <f t="shared" si="14"/>
        <v/>
      </c>
      <c r="W22" s="57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>
        <f t="shared" si="0"/>
        <v>8</v>
      </c>
    </row>
    <row r="23" spans="1:40" x14ac:dyDescent="0.3">
      <c r="A23" s="45">
        <f t="shared" si="1"/>
        <v>46074</v>
      </c>
      <c r="B23" s="46" t="str">
        <f t="shared" si="2"/>
        <v>토</v>
      </c>
      <c r="C23" s="49"/>
      <c r="D23" s="74"/>
      <c r="E23" s="74"/>
      <c r="F23" s="80" t="str">
        <f t="shared" si="10"/>
        <v/>
      </c>
      <c r="G23" s="58"/>
      <c r="H23" s="34"/>
      <c r="I23" s="34"/>
      <c r="J23" s="82" t="str">
        <f t="shared" si="11"/>
        <v/>
      </c>
      <c r="K23" s="61"/>
      <c r="L23" s="36"/>
      <c r="M23" s="36"/>
      <c r="N23" s="84" t="str">
        <f t="shared" si="12"/>
        <v/>
      </c>
      <c r="O23" s="64"/>
      <c r="P23" s="37"/>
      <c r="Q23" s="37"/>
      <c r="R23" s="86" t="str">
        <f t="shared" si="13"/>
        <v/>
      </c>
      <c r="S23" s="95"/>
      <c r="T23" s="96"/>
      <c r="U23" s="96"/>
      <c r="V23" s="94" t="str">
        <f t="shared" si="14"/>
        <v/>
      </c>
      <c r="W23" s="56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>
        <f t="shared" si="0"/>
        <v>8</v>
      </c>
    </row>
    <row r="24" spans="1:40" x14ac:dyDescent="0.3">
      <c r="A24" s="45">
        <f t="shared" si="1"/>
        <v>46075</v>
      </c>
      <c r="B24" s="46" t="str">
        <f t="shared" si="2"/>
        <v>일</v>
      </c>
      <c r="C24" s="49"/>
      <c r="D24" s="74"/>
      <c r="E24" s="74"/>
      <c r="F24" s="80" t="str">
        <f t="shared" si="10"/>
        <v/>
      </c>
      <c r="G24" s="58"/>
      <c r="H24" s="34"/>
      <c r="I24" s="34"/>
      <c r="J24" s="82" t="str">
        <f t="shared" si="11"/>
        <v/>
      </c>
      <c r="K24" s="61"/>
      <c r="L24" s="36"/>
      <c r="M24" s="36"/>
      <c r="N24" s="84" t="str">
        <f t="shared" si="12"/>
        <v/>
      </c>
      <c r="O24" s="64"/>
      <c r="P24" s="37"/>
      <c r="Q24" s="37"/>
      <c r="R24" s="86" t="str">
        <f t="shared" si="13"/>
        <v/>
      </c>
      <c r="S24" s="95"/>
      <c r="T24" s="96"/>
      <c r="U24" s="96"/>
      <c r="V24" s="94" t="str">
        <f t="shared" si="14"/>
        <v/>
      </c>
      <c r="W24" s="56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>
        <f t="shared" si="0"/>
        <v>8</v>
      </c>
    </row>
    <row r="25" spans="1:40" x14ac:dyDescent="0.3">
      <c r="A25" s="45">
        <f t="shared" si="1"/>
        <v>46076</v>
      </c>
      <c r="B25" s="46" t="str">
        <f t="shared" si="2"/>
        <v>월</v>
      </c>
      <c r="C25" s="49"/>
      <c r="D25" s="74"/>
      <c r="E25" s="74"/>
      <c r="F25" s="80" t="str">
        <f t="shared" si="10"/>
        <v/>
      </c>
      <c r="G25" s="58"/>
      <c r="H25" s="34"/>
      <c r="I25" s="34"/>
      <c r="J25" s="82" t="str">
        <f t="shared" si="11"/>
        <v/>
      </c>
      <c r="K25" s="61"/>
      <c r="L25" s="36"/>
      <c r="M25" s="36"/>
      <c r="N25" s="84" t="str">
        <f t="shared" si="12"/>
        <v/>
      </c>
      <c r="O25" s="64"/>
      <c r="P25" s="37"/>
      <c r="Q25" s="37"/>
      <c r="R25" s="86" t="str">
        <f t="shared" si="13"/>
        <v/>
      </c>
      <c r="S25" s="95"/>
      <c r="T25" s="96"/>
      <c r="U25" s="96"/>
      <c r="V25" s="94" t="str">
        <f t="shared" si="14"/>
        <v/>
      </c>
      <c r="W25" s="56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>
        <f t="shared" si="0"/>
        <v>9</v>
      </c>
    </row>
    <row r="26" spans="1:40" x14ac:dyDescent="0.3">
      <c r="A26" s="45">
        <f t="shared" si="1"/>
        <v>46077</v>
      </c>
      <c r="B26" s="46" t="str">
        <f t="shared" si="2"/>
        <v>화</v>
      </c>
      <c r="C26" s="49"/>
      <c r="D26" s="74"/>
      <c r="E26" s="74"/>
      <c r="F26" s="80" t="str">
        <f t="shared" si="10"/>
        <v/>
      </c>
      <c r="G26" s="58"/>
      <c r="H26" s="76"/>
      <c r="I26" s="76"/>
      <c r="J26" s="82" t="str">
        <f t="shared" si="11"/>
        <v/>
      </c>
      <c r="K26" s="61"/>
      <c r="L26" s="36"/>
      <c r="M26" s="36"/>
      <c r="N26" s="84" t="str">
        <f t="shared" si="12"/>
        <v/>
      </c>
      <c r="O26" s="64"/>
      <c r="P26" s="37"/>
      <c r="Q26" s="37"/>
      <c r="R26" s="86" t="str">
        <f t="shared" si="13"/>
        <v/>
      </c>
      <c r="S26" s="95"/>
      <c r="T26" s="96"/>
      <c r="U26" s="96"/>
      <c r="V26" s="94" t="str">
        <f t="shared" si="14"/>
        <v/>
      </c>
      <c r="W26" s="57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>
        <f t="shared" si="0"/>
        <v>9</v>
      </c>
    </row>
    <row r="27" spans="1:40" x14ac:dyDescent="0.3">
      <c r="A27" s="45">
        <f t="shared" si="1"/>
        <v>46078</v>
      </c>
      <c r="B27" s="46" t="str">
        <f t="shared" si="2"/>
        <v>수</v>
      </c>
      <c r="C27" s="49"/>
      <c r="D27" s="74"/>
      <c r="E27" s="74"/>
      <c r="F27" s="80" t="str">
        <f t="shared" si="10"/>
        <v/>
      </c>
      <c r="G27" s="58"/>
      <c r="H27" s="76"/>
      <c r="I27" s="76"/>
      <c r="J27" s="82" t="str">
        <f t="shared" si="11"/>
        <v/>
      </c>
      <c r="K27" s="61"/>
      <c r="L27" s="36"/>
      <c r="M27" s="36"/>
      <c r="N27" s="84" t="str">
        <f t="shared" si="12"/>
        <v/>
      </c>
      <c r="O27" s="64"/>
      <c r="P27" s="37"/>
      <c r="Q27" s="37"/>
      <c r="R27" s="86" t="str">
        <f t="shared" si="13"/>
        <v/>
      </c>
      <c r="S27" s="95"/>
      <c r="T27" s="96"/>
      <c r="U27" s="96"/>
      <c r="V27" s="94" t="str">
        <f t="shared" si="14"/>
        <v/>
      </c>
      <c r="W27" s="57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>
        <f t="shared" si="0"/>
        <v>9</v>
      </c>
    </row>
    <row r="28" spans="1:40" x14ac:dyDescent="0.3">
      <c r="A28" s="45">
        <f t="shared" si="1"/>
        <v>46079</v>
      </c>
      <c r="B28" s="46" t="str">
        <f t="shared" si="2"/>
        <v>목</v>
      </c>
      <c r="C28" s="49"/>
      <c r="D28" s="74"/>
      <c r="E28" s="74"/>
      <c r="F28" s="80" t="str">
        <f t="shared" si="10"/>
        <v/>
      </c>
      <c r="G28" s="58"/>
      <c r="H28" s="34"/>
      <c r="I28" s="34"/>
      <c r="J28" s="82" t="str">
        <f t="shared" si="11"/>
        <v/>
      </c>
      <c r="K28" s="61"/>
      <c r="L28" s="36"/>
      <c r="M28" s="36"/>
      <c r="N28" s="84" t="str">
        <f t="shared" si="12"/>
        <v/>
      </c>
      <c r="O28" s="64"/>
      <c r="P28" s="37"/>
      <c r="Q28" s="37"/>
      <c r="R28" s="86" t="str">
        <f t="shared" si="13"/>
        <v/>
      </c>
      <c r="S28" s="95"/>
      <c r="T28" s="96"/>
      <c r="U28" s="96"/>
      <c r="V28" s="94" t="str">
        <f t="shared" si="14"/>
        <v/>
      </c>
      <c r="W28" s="57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>
        <f t="shared" si="0"/>
        <v>9</v>
      </c>
    </row>
    <row r="29" spans="1:40" x14ac:dyDescent="0.3">
      <c r="A29" s="45">
        <f t="shared" si="1"/>
        <v>46080</v>
      </c>
      <c r="B29" s="46" t="str">
        <f t="shared" si="2"/>
        <v>금</v>
      </c>
      <c r="C29" s="49"/>
      <c r="D29" s="35"/>
      <c r="E29" s="74"/>
      <c r="F29" s="80" t="str">
        <f t="shared" si="10"/>
        <v/>
      </c>
      <c r="G29" s="58"/>
      <c r="H29" s="34"/>
      <c r="I29" s="34"/>
      <c r="J29" s="82" t="str">
        <f t="shared" si="11"/>
        <v/>
      </c>
      <c r="K29" s="61"/>
      <c r="L29" s="36"/>
      <c r="M29" s="36"/>
      <c r="N29" s="84" t="str">
        <f t="shared" si="12"/>
        <v/>
      </c>
      <c r="O29" s="64"/>
      <c r="P29" s="37"/>
      <c r="Q29" s="37"/>
      <c r="R29" s="86" t="str">
        <f t="shared" si="13"/>
        <v/>
      </c>
      <c r="S29" s="95"/>
      <c r="T29" s="96"/>
      <c r="U29" s="96"/>
      <c r="V29" s="94" t="str">
        <f t="shared" si="14"/>
        <v/>
      </c>
      <c r="W29" s="57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>
        <f t="shared" si="0"/>
        <v>9</v>
      </c>
    </row>
    <row r="30" spans="1:40" x14ac:dyDescent="0.3">
      <c r="A30" s="45">
        <f t="shared" si="1"/>
        <v>46081</v>
      </c>
      <c r="B30" s="46" t="str">
        <f>IF(A30="","",TEXT(A30, "aaa"))</f>
        <v>토</v>
      </c>
      <c r="C30" s="49"/>
      <c r="D30" s="35"/>
      <c r="E30" s="35"/>
      <c r="F30" s="80" t="str">
        <f t="shared" si="10"/>
        <v/>
      </c>
      <c r="G30" s="58"/>
      <c r="H30" s="34"/>
      <c r="I30" s="34"/>
      <c r="J30" s="82" t="str">
        <f t="shared" si="11"/>
        <v/>
      </c>
      <c r="K30" s="61"/>
      <c r="L30" s="36"/>
      <c r="M30" s="36"/>
      <c r="N30" s="84" t="str">
        <f t="shared" si="12"/>
        <v/>
      </c>
      <c r="O30" s="64"/>
      <c r="P30" s="37"/>
      <c r="Q30" s="37"/>
      <c r="R30" s="86" t="str">
        <f t="shared" si="13"/>
        <v/>
      </c>
      <c r="S30" s="95"/>
      <c r="T30" s="96"/>
      <c r="U30" s="96"/>
      <c r="V30" s="94" t="str">
        <f t="shared" si="14"/>
        <v/>
      </c>
      <c r="W30" s="56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>
        <f>IF(A30="", 0, WEEKNUM(A30, 2))</f>
        <v>9</v>
      </c>
    </row>
    <row r="31" spans="1:40" x14ac:dyDescent="0.3">
      <c r="A31" s="45" t="str">
        <f>IF(A30="","",IF(MONTH(A30+1)&lt;&gt;MONTH($A$3),"",A30+1))</f>
        <v/>
      </c>
      <c r="B31" s="46" t="str">
        <f t="shared" si="2"/>
        <v/>
      </c>
      <c r="C31" s="49"/>
      <c r="D31" s="35"/>
      <c r="E31" s="74"/>
      <c r="F31" s="80" t="str">
        <f t="shared" si="10"/>
        <v/>
      </c>
      <c r="G31" s="58"/>
      <c r="H31" s="34"/>
      <c r="I31" s="34"/>
      <c r="J31" s="82" t="str">
        <f t="shared" si="11"/>
        <v/>
      </c>
      <c r="K31" s="61"/>
      <c r="L31" s="75"/>
      <c r="M31" s="75"/>
      <c r="N31" s="84" t="str">
        <f t="shared" si="12"/>
        <v/>
      </c>
      <c r="O31" s="64"/>
      <c r="P31" s="37"/>
      <c r="Q31" s="37"/>
      <c r="R31" s="86" t="str">
        <f t="shared" si="13"/>
        <v/>
      </c>
      <c r="S31" s="95"/>
      <c r="T31" s="96"/>
      <c r="U31" s="96"/>
      <c r="V31" s="94" t="str">
        <f t="shared" si="14"/>
        <v/>
      </c>
      <c r="W31" s="56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>
        <f t="shared" si="0"/>
        <v>0</v>
      </c>
    </row>
    <row r="32" spans="1:40" x14ac:dyDescent="0.3">
      <c r="A32" s="45" t="str">
        <f t="shared" si="1"/>
        <v/>
      </c>
      <c r="B32" s="46" t="str">
        <f t="shared" si="2"/>
        <v/>
      </c>
      <c r="C32" s="49"/>
      <c r="D32" s="35"/>
      <c r="E32" s="35"/>
      <c r="F32" s="80" t="str">
        <f t="shared" si="10"/>
        <v/>
      </c>
      <c r="G32" s="58"/>
      <c r="H32" s="34"/>
      <c r="I32" s="34"/>
      <c r="J32" s="82" t="str">
        <f t="shared" si="11"/>
        <v/>
      </c>
      <c r="K32" s="61"/>
      <c r="L32" s="36"/>
      <c r="M32" s="36"/>
      <c r="N32" s="84" t="str">
        <f t="shared" si="12"/>
        <v/>
      </c>
      <c r="O32" s="64"/>
      <c r="P32" s="37"/>
      <c r="Q32" s="37"/>
      <c r="R32" s="86" t="str">
        <f t="shared" si="13"/>
        <v/>
      </c>
      <c r="S32" s="95"/>
      <c r="T32" s="96"/>
      <c r="U32" s="96"/>
      <c r="V32" s="94" t="str">
        <f t="shared" si="14"/>
        <v/>
      </c>
      <c r="W32" s="56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>
        <f t="shared" si="0"/>
        <v>0</v>
      </c>
    </row>
    <row r="33" spans="1:40" ht="17.25" thickBot="1" x14ac:dyDescent="0.35">
      <c r="A33" s="47" t="str">
        <f>IF(A32="","",IF(MONTH(A32+1)&lt;&gt;MONTH($A$3),"",A32+1))</f>
        <v/>
      </c>
      <c r="B33" s="48" t="str">
        <f>IF(A33="","",TEXT(A33, "aaa"))</f>
        <v/>
      </c>
      <c r="C33" s="50"/>
      <c r="D33" s="51"/>
      <c r="E33" s="51"/>
      <c r="F33" s="81" t="str">
        <f t="shared" si="10"/>
        <v/>
      </c>
      <c r="G33" s="59"/>
      <c r="H33" s="60"/>
      <c r="I33" s="60"/>
      <c r="J33" s="83" t="str">
        <f t="shared" si="11"/>
        <v/>
      </c>
      <c r="K33" s="62"/>
      <c r="L33" s="63"/>
      <c r="M33" s="63"/>
      <c r="N33" s="85" t="str">
        <f t="shared" si="12"/>
        <v/>
      </c>
      <c r="O33" s="65"/>
      <c r="P33" s="66"/>
      <c r="Q33" s="66"/>
      <c r="R33" s="87" t="str">
        <f t="shared" si="13"/>
        <v/>
      </c>
      <c r="S33" s="91"/>
      <c r="T33" s="92"/>
      <c r="U33" s="92"/>
      <c r="V33" s="97" t="str">
        <f t="shared" si="14"/>
        <v/>
      </c>
      <c r="W33" s="57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>
        <f>IF(A33="", 0, WEEKNUM(A33, 2))</f>
        <v>0</v>
      </c>
    </row>
  </sheetData>
  <mergeCells count="8">
    <mergeCell ref="S1:V1"/>
    <mergeCell ref="Y1:AA1"/>
    <mergeCell ref="O1:R1"/>
    <mergeCell ref="A1:A2"/>
    <mergeCell ref="B1:B2"/>
    <mergeCell ref="C1:F1"/>
    <mergeCell ref="G1:J1"/>
    <mergeCell ref="K1:N1"/>
  </mergeCells>
  <phoneticPr fontId="2" type="noConversion"/>
  <conditionalFormatting sqref="B3:B33">
    <cfRule type="containsText" dxfId="1" priority="1" operator="containsText" text="토">
      <formula>NOT(ISERROR(SEARCH("토",B3)))</formula>
    </cfRule>
    <cfRule type="containsText" dxfId="0" priority="2" operator="containsText" text="일">
      <formula>NOT(ISERROR(SEARCH("일",B3)))</formula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9"/>
  <sheetViews>
    <sheetView workbookViewId="0">
      <selection activeCell="F32" sqref="F32"/>
    </sheetView>
  </sheetViews>
  <sheetFormatPr defaultRowHeight="16.5" x14ac:dyDescent="0.3"/>
  <cols>
    <col min="1" max="1" width="12" style="6" customWidth="1"/>
    <col min="2" max="3" width="9" style="6"/>
    <col min="4" max="4" width="1.75" style="6" customWidth="1"/>
    <col min="5" max="5" width="12" style="6" customWidth="1"/>
    <col min="6" max="7" width="9" style="6"/>
    <col min="8" max="8" width="1.625" style="6" customWidth="1"/>
    <col min="9" max="9" width="12" style="6" customWidth="1"/>
    <col min="10" max="11" width="9" style="6"/>
    <col min="12" max="12" width="1.625" style="6" customWidth="1"/>
    <col min="13" max="13" width="12" style="6" customWidth="1"/>
    <col min="14" max="15" width="9" style="6"/>
    <col min="16" max="16" width="1.625" style="6" customWidth="1"/>
    <col min="17" max="17" width="12" style="6" customWidth="1"/>
    <col min="18" max="19" width="9" style="6"/>
    <col min="20" max="20" width="1.625" style="6" customWidth="1"/>
    <col min="21" max="21" width="12" style="6" customWidth="1"/>
    <col min="22" max="23" width="9" style="6"/>
    <col min="24" max="24" width="1.625" style="6" customWidth="1"/>
    <col min="25" max="25" width="12" style="6" customWidth="1"/>
    <col min="26" max="27" width="9" style="6"/>
    <col min="28" max="28" width="1.625" style="6" customWidth="1"/>
    <col min="29" max="29" width="12" style="6" customWidth="1"/>
    <col min="30" max="31" width="9" style="6"/>
    <col min="32" max="32" width="1.625" style="6" customWidth="1"/>
    <col min="33" max="16384" width="9" style="6"/>
  </cols>
  <sheetData>
    <row r="1" spans="1:27" ht="20.25" x14ac:dyDescent="0.35">
      <c r="A1" s="126" t="str">
        <f>'근무표(입력)'!Y3</f>
        <v>김도윤</v>
      </c>
      <c r="B1" s="127"/>
      <c r="C1" s="128"/>
      <c r="D1" s="8"/>
      <c r="E1" s="126" t="str">
        <f>'근무표(입력)'!Y4</f>
        <v>김지수</v>
      </c>
      <c r="F1" s="127"/>
      <c r="G1" s="128"/>
      <c r="H1" s="8"/>
      <c r="I1" s="126" t="str">
        <f>'근무표(입력)'!Y5</f>
        <v>김현호</v>
      </c>
      <c r="J1" s="127"/>
      <c r="K1" s="128"/>
      <c r="L1" s="8"/>
      <c r="M1" s="126" t="str">
        <f>'근무표(입력)'!Y6</f>
        <v>송채민</v>
      </c>
      <c r="N1" s="127"/>
      <c r="O1" s="128"/>
      <c r="P1" s="8"/>
      <c r="Q1" s="126" t="str">
        <f>'근무표(입력)'!Y7</f>
        <v>이예은</v>
      </c>
      <c r="R1" s="127"/>
      <c r="S1" s="128"/>
      <c r="T1" s="8"/>
      <c r="U1" s="126" t="str">
        <f>'근무표(입력)'!Y8</f>
        <v>정가은</v>
      </c>
      <c r="V1" s="127"/>
      <c r="W1" s="128"/>
      <c r="X1" s="8"/>
      <c r="Y1" s="126" t="str">
        <f>'근무표(입력)'!Y9</f>
        <v>황승연</v>
      </c>
      <c r="Z1" s="127"/>
      <c r="AA1" s="128"/>
    </row>
    <row r="2" spans="1:27" ht="20.25" x14ac:dyDescent="0.35">
      <c r="A2" s="129"/>
      <c r="B2" s="130"/>
      <c r="C2" s="131"/>
      <c r="D2" s="8"/>
      <c r="E2" s="129"/>
      <c r="F2" s="130"/>
      <c r="G2" s="131"/>
      <c r="H2" s="8"/>
      <c r="I2" s="129"/>
      <c r="J2" s="130"/>
      <c r="K2" s="131"/>
      <c r="L2" s="8"/>
      <c r="M2" s="129"/>
      <c r="N2" s="130"/>
      <c r="O2" s="131"/>
      <c r="P2" s="8"/>
      <c r="Q2" s="129"/>
      <c r="R2" s="130"/>
      <c r="S2" s="131"/>
      <c r="T2" s="8"/>
      <c r="U2" s="129"/>
      <c r="V2" s="130"/>
      <c r="W2" s="131"/>
      <c r="X2" s="8"/>
      <c r="Y2" s="129"/>
      <c r="Z2" s="130"/>
      <c r="AA2" s="131"/>
    </row>
    <row r="3" spans="1:27" x14ac:dyDescent="0.3">
      <c r="A3" s="12">
        <f>'근무표(입력)'!A3</f>
        <v>46054</v>
      </c>
      <c r="B3" s="7" t="str">
        <f>TEXT(A3, "aaa")</f>
        <v>일</v>
      </c>
      <c r="C3" s="10">
        <f>SUMIFS('근무표(입력)'!$F$3:$F$33, '근무표(입력)'!$C$3:$C$33, $A$1, '근무표(입력)'!$A$3:$A$33, $A3) + SUMIFS('근무표(입력)'!$J$3:$J$33, '근무표(입력)'!$G$3:$G$33, $A$1, '근무표(입력)'!$A$3:$A$33, $A3) + SUMIFS('근무표(입력)'!$N$3:$N$33, '근무표(입력)'!$K$3:$K$33, $A$1, '근무표(입력)'!$A$3:$A$33, $A3) + SUMIFS('근무표(입력)'!$R$3:$R$33, '근무표(입력)'!$O$3:$O$33, $A$1, '근무표(입력)'!$A$3:$A$33, $A3)</f>
        <v>0</v>
      </c>
      <c r="E3" s="12">
        <f>A3</f>
        <v>46054</v>
      </c>
      <c r="F3" s="7" t="str">
        <f>TEXT(E3, "aaa")</f>
        <v>일</v>
      </c>
      <c r="G3" s="10">
        <f>SUMIFS('근무표(입력)'!$F$3:$F$33, '근무표(입력)'!$C$3:$C$33, $E$1, '근무표(입력)'!$A$3:$A$33, $A3) + SUMIFS('근무표(입력)'!$J$3:$J$33, '근무표(입력)'!$G$3:$G$33, $E$1, '근무표(입력)'!$A$3:$A$33, $A3) + SUMIFS('근무표(입력)'!$N$3:$N$33, '근무표(입력)'!$K$3:$K$33, $E$1, '근무표(입력)'!$A$3:$A$33, $A3) + SUMIFS('근무표(입력)'!$R$3:$R$33, '근무표(입력)'!$O$3:$O$33, $E$1, '근무표(입력)'!$A$3:$A$33, $A3)</f>
        <v>0</v>
      </c>
      <c r="I3" s="9">
        <f>A3</f>
        <v>46054</v>
      </c>
      <c r="J3" s="7" t="str">
        <f>TEXT(I3, "aaa")</f>
        <v>일</v>
      </c>
      <c r="K3" s="10">
        <f>SUMIFS('근무표(입력)'!$F$3:$F$33, '근무표(입력)'!$C$3:$C$33, $I$1, '근무표(입력)'!$A$3:$A$33, $A3) + SUMIFS('근무표(입력)'!$J$3:$J$33, '근무표(입력)'!$G$3:$G$33, $I$1, '근무표(입력)'!$A$3:$A$33, $A3) + SUMIFS('근무표(입력)'!$N$3:$N$33, '근무표(입력)'!$K$3:$K$33, $I$1, '근무표(입력)'!$A$3:$A$33, $A3) + SUMIFS('근무표(입력)'!$R$3:$R$33, '근무표(입력)'!$O$3:$O$33, $I$1, '근무표(입력)'!$A$3:$A$33, $A3)</f>
        <v>0</v>
      </c>
      <c r="M3" s="9">
        <f>A3</f>
        <v>46054</v>
      </c>
      <c r="N3" s="7" t="str">
        <f>TEXT(M3, "aaa")</f>
        <v>일</v>
      </c>
      <c r="O3" s="10">
        <f>SUMIFS('근무표(입력)'!$F$3:$F$33, '근무표(입력)'!$C$3:$C$33, $M$1, '근무표(입력)'!$A$3:$A$33, $A3) + SUMIFS('근무표(입력)'!$J$3:$J$33, '근무표(입력)'!$G$3:$G$33, $M$1, '근무표(입력)'!$A$3:$A$33, $A3) + SUMIFS('근무표(입력)'!$N$3:$N$33, '근무표(입력)'!$K$3:$K$33, $M$1, '근무표(입력)'!$A$3:$A$33, $A3) + SUMIFS('근무표(입력)'!$R$3:$R$33, '근무표(입력)'!$O$3:$O$33, $M$1, '근무표(입력)'!$A$3:$A$33, $A3)</f>
        <v>0</v>
      </c>
      <c r="Q3" s="9">
        <f>A3</f>
        <v>46054</v>
      </c>
      <c r="R3" s="7" t="str">
        <f>TEXT(Q3, "aaa")</f>
        <v>일</v>
      </c>
      <c r="S3" s="10">
        <f>SUMIFS('근무표(입력)'!$F$3:$F$33, '근무표(입력)'!$C$3:$C$33, $Q$1, '근무표(입력)'!$A$3:$A$33, $A3) + SUMIFS('근무표(입력)'!$J$3:$J$33, '근무표(입력)'!$G$3:$G$33, $Q$1, '근무표(입력)'!$A$3:$A$33, $A3) + SUMIFS('근무표(입력)'!$N$3:$N$33, '근무표(입력)'!$K$3:$K$33, $Q$1, '근무표(입력)'!$A$3:$A$33, $A3) + SUMIFS('근무표(입력)'!$R$3:$R$33, '근무표(입력)'!$O$3:$O$33, $Q$1, '근무표(입력)'!$A$3:$A$33, $A3)</f>
        <v>0</v>
      </c>
      <c r="U3" s="9">
        <f>A3</f>
        <v>46054</v>
      </c>
      <c r="V3" s="7" t="str">
        <f>TEXT(U3, "aaa")</f>
        <v>일</v>
      </c>
      <c r="W3" s="10">
        <f>SUMIFS('근무표(입력)'!$F$3:$F$33, '근무표(입력)'!$C$3:$C$33, $U$1, '근무표(입력)'!$A$3:$A$33, $A3) + SUMIFS('근무표(입력)'!$J$3:$J$33, '근무표(입력)'!$G$3:$G$33, $U$1, '근무표(입력)'!$A$3:$A$33, $A3) + SUMIFS('근무표(입력)'!$N$3:$N$33, '근무표(입력)'!$K$3:$K$33, $U$1, '근무표(입력)'!$A$3:$A$33, $A3) + SUMIFS('근무표(입력)'!$R$3:$R$33, '근무표(입력)'!$O$3:$O$33, $U$1, '근무표(입력)'!$A$3:$A$33, $A3)</f>
        <v>0</v>
      </c>
      <c r="Y3" s="9">
        <f>A3</f>
        <v>46054</v>
      </c>
      <c r="Z3" s="7" t="str">
        <f>TEXT(Y3, "aaa")</f>
        <v>일</v>
      </c>
      <c r="AA3" s="10">
        <f>SUMIFS('근무표(입력)'!$F$3:$F$33, '근무표(입력)'!$C$3:$C$33, $Y$1, '근무표(입력)'!$A$3:$A$33, $A3) + SUMIFS('근무표(입력)'!$J$3:$J$33, '근무표(입력)'!$G$3:$G$33, $Y$1, '근무표(입력)'!$A$3:$A$33, $A3) + SUMIFS('근무표(입력)'!$N$3:$N$33, '근무표(입력)'!$K$3:$K$33, $Y$1, '근무표(입력)'!$A$3:$A$33, $A3) + SUMIFS('근무표(입력)'!$R$3:$R$33, '근무표(입력)'!$O$3:$O$33, $Y$1, '근무표(입력)'!$A$3:$A$33, $A3)</f>
        <v>0</v>
      </c>
    </row>
    <row r="4" spans="1:27" x14ac:dyDescent="0.3">
      <c r="A4" s="12">
        <f t="shared" ref="A4:A33" si="0">IF(A3="","",IF(MONTH(A3+1)&lt;&gt;MONTH($A$3),"",A3+1))</f>
        <v>46055</v>
      </c>
      <c r="B4" s="7" t="str">
        <f t="shared" ref="B4:B33" si="1">IF(A4="","",TEXT(A4, "aaa"))</f>
        <v>월</v>
      </c>
      <c r="C4" s="10">
        <f>SUMIFS('근무표(입력)'!$F$3:$F$33, '근무표(입력)'!$C$3:$C$33, $A$1, '근무표(입력)'!$A$3:$A$33, $A4) + SUMIFS('근무표(입력)'!$J$3:$J$33, '근무표(입력)'!$G$3:$G$33, $A$1, '근무표(입력)'!$A$3:$A$33, $A4) + SUMIFS('근무표(입력)'!$N$3:$N$33, '근무표(입력)'!$K$3:$K$33, $A$1, '근무표(입력)'!$A$3:$A$33, $A4) + SUMIFS('근무표(입력)'!$R$3:$R$33, '근무표(입력)'!$O$3:$O$33, $A$1, '근무표(입력)'!$A$3:$A$33, $A4)</f>
        <v>0</v>
      </c>
      <c r="E4" s="9">
        <f t="shared" ref="E4:E33" si="2">IF(E3="","",IF(MONTH(E3+1)&lt;&gt;MONTH($A$3),"",E3+1))</f>
        <v>46055</v>
      </c>
      <c r="F4" s="7" t="str">
        <f t="shared" ref="F4:F33" si="3">IF(E4="","",TEXT(E4, "aaa"))</f>
        <v>월</v>
      </c>
      <c r="G4" s="10">
        <f>SUMIFS('근무표(입력)'!$F$3:$F$33, '근무표(입력)'!$C$3:$C$33, $E$1, '근무표(입력)'!$A$3:$A$33, $A4) + SUMIFS('근무표(입력)'!$J$3:$J$33, '근무표(입력)'!$G$3:$G$33, $E$1, '근무표(입력)'!$A$3:$A$33, $A4) + SUMIFS('근무표(입력)'!$N$3:$N$33, '근무표(입력)'!$K$3:$K$33, $E$1, '근무표(입력)'!$A$3:$A$33, $A4) + SUMIFS('근무표(입력)'!$R$3:$R$33, '근무표(입력)'!$O$3:$O$33, $E$1, '근무표(입력)'!$A$3:$A$33, $A4)</f>
        <v>0</v>
      </c>
      <c r="I4" s="9">
        <f t="shared" ref="I4:I33" si="4">IF(I3="","",IF(MONTH(I3+1)&lt;&gt;MONTH($A$3),"",I3+1))</f>
        <v>46055</v>
      </c>
      <c r="J4" s="7" t="str">
        <f t="shared" ref="J4:J33" si="5">IF(I4="","",TEXT(I4, "aaa"))</f>
        <v>월</v>
      </c>
      <c r="K4" s="10">
        <f>SUMIFS('근무표(입력)'!$F$3:$F$33, '근무표(입력)'!$C$3:$C$33, $I$1, '근무표(입력)'!$A$3:$A$33, $A4) + SUMIFS('근무표(입력)'!$J$3:$J$33, '근무표(입력)'!$G$3:$G$33, $I$1, '근무표(입력)'!$A$3:$A$33, $A4) + SUMIFS('근무표(입력)'!$N$3:$N$33, '근무표(입력)'!$K$3:$K$33, $I$1, '근무표(입력)'!$A$3:$A$33, $A4) + SUMIFS('근무표(입력)'!$R$3:$R$33, '근무표(입력)'!$O$3:$O$33, $I$1, '근무표(입력)'!$A$3:$A$33, $A4)</f>
        <v>0</v>
      </c>
      <c r="M4" s="9">
        <f t="shared" ref="M4:M33" si="6">IF(M3="","",IF(MONTH(M3+1)&lt;&gt;MONTH($A$3),"",M3+1))</f>
        <v>46055</v>
      </c>
      <c r="N4" s="7" t="str">
        <f t="shared" ref="N4:N33" si="7">IF(M4="","",TEXT(M4, "aaa"))</f>
        <v>월</v>
      </c>
      <c r="O4" s="10">
        <f>SUMIFS('근무표(입력)'!$F$3:$F$33, '근무표(입력)'!$C$3:$C$33, $M$1, '근무표(입력)'!$A$3:$A$33, $A4) + SUMIFS('근무표(입력)'!$J$3:$J$33, '근무표(입력)'!$G$3:$G$33, $M$1, '근무표(입력)'!$A$3:$A$33, $A4) + SUMIFS('근무표(입력)'!$N$3:$N$33, '근무표(입력)'!$K$3:$K$33, $M$1, '근무표(입력)'!$A$3:$A$33, $A4) + SUMIFS('근무표(입력)'!$R$3:$R$33, '근무표(입력)'!$O$3:$O$33, $M$1, '근무표(입력)'!$A$3:$A$33, $A4)</f>
        <v>0</v>
      </c>
      <c r="Q4" s="9">
        <f t="shared" ref="Q4:Q33" si="8">IF(Q3="","",IF(MONTH(Q3+1)&lt;&gt;MONTH($A$3),"",Q3+1))</f>
        <v>46055</v>
      </c>
      <c r="R4" s="7" t="str">
        <f t="shared" ref="R4:R33" si="9">IF(Q4="","",TEXT(Q4, "aaa"))</f>
        <v>월</v>
      </c>
      <c r="S4" s="10">
        <f>SUMIFS('근무표(입력)'!$F$3:$F$33, '근무표(입력)'!$C$3:$C$33, $Q$1, '근무표(입력)'!$A$3:$A$33, $A4) + SUMIFS('근무표(입력)'!$J$3:$J$33, '근무표(입력)'!$G$3:$G$33, $Q$1, '근무표(입력)'!$A$3:$A$33, $A4) + SUMIFS('근무표(입력)'!$N$3:$N$33, '근무표(입력)'!$K$3:$K$33, $Q$1, '근무표(입력)'!$A$3:$A$33, $A4) + SUMIFS('근무표(입력)'!$R$3:$R$33, '근무표(입력)'!$O$3:$O$33, $Q$1, '근무표(입력)'!$A$3:$A$33, $A4)</f>
        <v>0</v>
      </c>
      <c r="U4" s="9">
        <f t="shared" ref="U4:U33" si="10">IF(U3="","",IF(MONTH(U3+1)&lt;&gt;MONTH($A$3),"",U3+1))</f>
        <v>46055</v>
      </c>
      <c r="V4" s="7" t="str">
        <f t="shared" ref="V4:V33" si="11">IF(U4="","",TEXT(U4, "aaa"))</f>
        <v>월</v>
      </c>
      <c r="W4" s="10">
        <f>SUMIFS('근무표(입력)'!$F$3:$F$33, '근무표(입력)'!$C$3:$C$33, $U$1, '근무표(입력)'!$A$3:$A$33, $A4) + SUMIFS('근무표(입력)'!$J$3:$J$33, '근무표(입력)'!$G$3:$G$33, $U$1, '근무표(입력)'!$A$3:$A$33, $A4) + SUMIFS('근무표(입력)'!$N$3:$N$33, '근무표(입력)'!$K$3:$K$33, $U$1, '근무표(입력)'!$A$3:$A$33, $A4) + SUMIFS('근무표(입력)'!$R$3:$R$33, '근무표(입력)'!$O$3:$O$33, $U$1, '근무표(입력)'!$A$3:$A$33, $A4)</f>
        <v>0</v>
      </c>
      <c r="Y4" s="9">
        <f t="shared" ref="Y4:Y33" si="12">IF(Y3="","",IF(MONTH(Y3+1)&lt;&gt;MONTH($A$3),"",Y3+1))</f>
        <v>46055</v>
      </c>
      <c r="Z4" s="7" t="str">
        <f t="shared" ref="Z4:Z33" si="13">IF(Y4="","",TEXT(Y4, "aaa"))</f>
        <v>월</v>
      </c>
      <c r="AA4" s="10">
        <f>SUMIFS('근무표(입력)'!$F$3:$F$33, '근무표(입력)'!$C$3:$C$33, $Y$1, '근무표(입력)'!$A$3:$A$33, $A4) + SUMIFS('근무표(입력)'!$J$3:$J$33, '근무표(입력)'!$G$3:$G$33, $Y$1, '근무표(입력)'!$A$3:$A$33, $A4) + SUMIFS('근무표(입력)'!$N$3:$N$33, '근무표(입력)'!$K$3:$K$33, $Y$1, '근무표(입력)'!$A$3:$A$33, $A4) + SUMIFS('근무표(입력)'!$R$3:$R$33, '근무표(입력)'!$O$3:$O$33, $Y$1, '근무표(입력)'!$A$3:$A$33, $A4)</f>
        <v>0</v>
      </c>
    </row>
    <row r="5" spans="1:27" x14ac:dyDescent="0.3">
      <c r="A5" s="12">
        <f t="shared" si="0"/>
        <v>46056</v>
      </c>
      <c r="B5" s="7" t="str">
        <f t="shared" si="1"/>
        <v>화</v>
      </c>
      <c r="C5" s="10">
        <f>SUMIFS('근무표(입력)'!$F$3:$F$33, '근무표(입력)'!$C$3:$C$33, $A$1, '근무표(입력)'!$A$3:$A$33, $A5) + SUMIFS('근무표(입력)'!$J$3:$J$33, '근무표(입력)'!$G$3:$G$33, $A$1, '근무표(입력)'!$A$3:$A$33, $A5) + SUMIFS('근무표(입력)'!$N$3:$N$33, '근무표(입력)'!$K$3:$K$33, $A$1, '근무표(입력)'!$A$3:$A$33, $A5) + SUMIFS('근무표(입력)'!$R$3:$R$33, '근무표(입력)'!$O$3:$O$33, $A$1, '근무표(입력)'!$A$3:$A$33, $A5)</f>
        <v>0</v>
      </c>
      <c r="E5" s="9">
        <f t="shared" si="2"/>
        <v>46056</v>
      </c>
      <c r="F5" s="7" t="str">
        <f t="shared" si="3"/>
        <v>화</v>
      </c>
      <c r="G5" s="10">
        <f>SUMIFS('근무표(입력)'!$F$3:$F$33, '근무표(입력)'!$C$3:$C$33, $E$1, '근무표(입력)'!$A$3:$A$33, $A5) + SUMIFS('근무표(입력)'!$J$3:$J$33, '근무표(입력)'!$G$3:$G$33, $E$1, '근무표(입력)'!$A$3:$A$33, $A5) + SUMIFS('근무표(입력)'!$N$3:$N$33, '근무표(입력)'!$K$3:$K$33, $E$1, '근무표(입력)'!$A$3:$A$33, $A5) + SUMIFS('근무표(입력)'!$R$3:$R$33, '근무표(입력)'!$O$3:$O$33, $E$1, '근무표(입력)'!$A$3:$A$33, $A5)</f>
        <v>0</v>
      </c>
      <c r="I5" s="9">
        <f t="shared" si="4"/>
        <v>46056</v>
      </c>
      <c r="J5" s="7" t="str">
        <f t="shared" si="5"/>
        <v>화</v>
      </c>
      <c r="K5" s="10">
        <f>SUMIFS('근무표(입력)'!$F$3:$F$33, '근무표(입력)'!$C$3:$C$33, $I$1, '근무표(입력)'!$A$3:$A$33, $A5) + SUMIFS('근무표(입력)'!$J$3:$J$33, '근무표(입력)'!$G$3:$G$33, $I$1, '근무표(입력)'!$A$3:$A$33, $A5) + SUMIFS('근무표(입력)'!$N$3:$N$33, '근무표(입력)'!$K$3:$K$33, $I$1, '근무표(입력)'!$A$3:$A$33, $A5) + SUMIFS('근무표(입력)'!$R$3:$R$33, '근무표(입력)'!$O$3:$O$33, $I$1, '근무표(입력)'!$A$3:$A$33, $A5)</f>
        <v>0</v>
      </c>
      <c r="M5" s="9">
        <f t="shared" si="6"/>
        <v>46056</v>
      </c>
      <c r="N5" s="7" t="str">
        <f t="shared" si="7"/>
        <v>화</v>
      </c>
      <c r="O5" s="10">
        <f>SUMIFS('근무표(입력)'!$F$3:$F$33, '근무표(입력)'!$C$3:$C$33, $M$1, '근무표(입력)'!$A$3:$A$33, $A5) + SUMIFS('근무표(입력)'!$J$3:$J$33, '근무표(입력)'!$G$3:$G$33, $M$1, '근무표(입력)'!$A$3:$A$33, $A5) + SUMIFS('근무표(입력)'!$N$3:$N$33, '근무표(입력)'!$K$3:$K$33, $M$1, '근무표(입력)'!$A$3:$A$33, $A5) + SUMIFS('근무표(입력)'!$R$3:$R$33, '근무표(입력)'!$O$3:$O$33, $M$1, '근무표(입력)'!$A$3:$A$33, $A5)</f>
        <v>0</v>
      </c>
      <c r="Q5" s="9">
        <f t="shared" si="8"/>
        <v>46056</v>
      </c>
      <c r="R5" s="7" t="str">
        <f t="shared" si="9"/>
        <v>화</v>
      </c>
      <c r="S5" s="10">
        <f>SUMIFS('근무표(입력)'!$F$3:$F$33, '근무표(입력)'!$C$3:$C$33, $Q$1, '근무표(입력)'!$A$3:$A$33, $A5) + SUMIFS('근무표(입력)'!$J$3:$J$33, '근무표(입력)'!$G$3:$G$33, $Q$1, '근무표(입력)'!$A$3:$A$33, $A5) + SUMIFS('근무표(입력)'!$N$3:$N$33, '근무표(입력)'!$K$3:$K$33, $Q$1, '근무표(입력)'!$A$3:$A$33, $A5) + SUMIFS('근무표(입력)'!$R$3:$R$33, '근무표(입력)'!$O$3:$O$33, $Q$1, '근무표(입력)'!$A$3:$A$33, $A5)</f>
        <v>0</v>
      </c>
      <c r="U5" s="9">
        <f t="shared" si="10"/>
        <v>46056</v>
      </c>
      <c r="V5" s="7" t="str">
        <f t="shared" si="11"/>
        <v>화</v>
      </c>
      <c r="W5" s="10">
        <f>SUMIFS('근무표(입력)'!$F$3:$F$33, '근무표(입력)'!$C$3:$C$33, $U$1, '근무표(입력)'!$A$3:$A$33, $A5) + SUMIFS('근무표(입력)'!$J$3:$J$33, '근무표(입력)'!$G$3:$G$33, $U$1, '근무표(입력)'!$A$3:$A$33, $A5) + SUMIFS('근무표(입력)'!$N$3:$N$33, '근무표(입력)'!$K$3:$K$33, $U$1, '근무표(입력)'!$A$3:$A$33, $A5) + SUMIFS('근무표(입력)'!$R$3:$R$33, '근무표(입력)'!$O$3:$O$33, $U$1, '근무표(입력)'!$A$3:$A$33, $A5)</f>
        <v>0</v>
      </c>
      <c r="Y5" s="9">
        <f t="shared" si="12"/>
        <v>46056</v>
      </c>
      <c r="Z5" s="7" t="str">
        <f t="shared" si="13"/>
        <v>화</v>
      </c>
      <c r="AA5" s="10">
        <f>SUMIFS('근무표(입력)'!$F$3:$F$33, '근무표(입력)'!$C$3:$C$33, $Y$1, '근무표(입력)'!$A$3:$A$33, $A5) + SUMIFS('근무표(입력)'!$J$3:$J$33, '근무표(입력)'!$G$3:$G$33, $Y$1, '근무표(입력)'!$A$3:$A$33, $A5) + SUMIFS('근무표(입력)'!$N$3:$N$33, '근무표(입력)'!$K$3:$K$33, $Y$1, '근무표(입력)'!$A$3:$A$33, $A5) + SUMIFS('근무표(입력)'!$R$3:$R$33, '근무표(입력)'!$O$3:$O$33, $Y$1, '근무표(입력)'!$A$3:$A$33, $A5)</f>
        <v>0</v>
      </c>
    </row>
    <row r="6" spans="1:27" x14ac:dyDescent="0.3">
      <c r="A6" s="12">
        <f t="shared" si="0"/>
        <v>46057</v>
      </c>
      <c r="B6" s="7" t="str">
        <f t="shared" si="1"/>
        <v>수</v>
      </c>
      <c r="C6" s="10">
        <f>SUMIFS('근무표(입력)'!$F$3:$F$33, '근무표(입력)'!$C$3:$C$33, $A$1, '근무표(입력)'!$A$3:$A$33, $A6) + SUMIFS('근무표(입력)'!$J$3:$J$33, '근무표(입력)'!$G$3:$G$33, $A$1, '근무표(입력)'!$A$3:$A$33, $A6) + SUMIFS('근무표(입력)'!$N$3:$N$33, '근무표(입력)'!$K$3:$K$33, $A$1, '근무표(입력)'!$A$3:$A$33, $A6) + SUMIFS('근무표(입력)'!$R$3:$R$33, '근무표(입력)'!$O$3:$O$33, $A$1, '근무표(입력)'!$A$3:$A$33, $A6)</f>
        <v>0</v>
      </c>
      <c r="E6" s="9">
        <f t="shared" si="2"/>
        <v>46057</v>
      </c>
      <c r="F6" s="7" t="str">
        <f t="shared" si="3"/>
        <v>수</v>
      </c>
      <c r="G6" s="10">
        <f>SUMIFS('근무표(입력)'!$F$3:$F$33, '근무표(입력)'!$C$3:$C$33, $E$1, '근무표(입력)'!$A$3:$A$33, $A6) + SUMIFS('근무표(입력)'!$J$3:$J$33, '근무표(입력)'!$G$3:$G$33, $E$1, '근무표(입력)'!$A$3:$A$33, $A6) + SUMIFS('근무표(입력)'!$N$3:$N$33, '근무표(입력)'!$K$3:$K$33, $E$1, '근무표(입력)'!$A$3:$A$33, $A6) + SUMIFS('근무표(입력)'!$R$3:$R$33, '근무표(입력)'!$O$3:$O$33, $E$1, '근무표(입력)'!$A$3:$A$33, $A6)</f>
        <v>0</v>
      </c>
      <c r="I6" s="9">
        <f t="shared" si="4"/>
        <v>46057</v>
      </c>
      <c r="J6" s="7" t="str">
        <f t="shared" si="5"/>
        <v>수</v>
      </c>
      <c r="K6" s="10">
        <f>SUMIFS('근무표(입력)'!$F$3:$F$33, '근무표(입력)'!$C$3:$C$33, $I$1, '근무표(입력)'!$A$3:$A$33, $A6) + SUMIFS('근무표(입력)'!$J$3:$J$33, '근무표(입력)'!$G$3:$G$33, $I$1, '근무표(입력)'!$A$3:$A$33, $A6) + SUMIFS('근무표(입력)'!$N$3:$N$33, '근무표(입력)'!$K$3:$K$33, $I$1, '근무표(입력)'!$A$3:$A$33, $A6) + SUMIFS('근무표(입력)'!$R$3:$R$33, '근무표(입력)'!$O$3:$O$33, $I$1, '근무표(입력)'!$A$3:$A$33, $A6)</f>
        <v>0</v>
      </c>
      <c r="M6" s="9">
        <f t="shared" si="6"/>
        <v>46057</v>
      </c>
      <c r="N6" s="7" t="str">
        <f t="shared" si="7"/>
        <v>수</v>
      </c>
      <c r="O6" s="10">
        <f>SUMIFS('근무표(입력)'!$F$3:$F$33, '근무표(입력)'!$C$3:$C$33, $M$1, '근무표(입력)'!$A$3:$A$33, $A6) + SUMIFS('근무표(입력)'!$J$3:$J$33, '근무표(입력)'!$G$3:$G$33, $M$1, '근무표(입력)'!$A$3:$A$33, $A6) + SUMIFS('근무표(입력)'!$N$3:$N$33, '근무표(입력)'!$K$3:$K$33, $M$1, '근무표(입력)'!$A$3:$A$33, $A6) + SUMIFS('근무표(입력)'!$R$3:$R$33, '근무표(입력)'!$O$3:$O$33, $M$1, '근무표(입력)'!$A$3:$A$33, $A6)</f>
        <v>0</v>
      </c>
      <c r="Q6" s="9">
        <f t="shared" si="8"/>
        <v>46057</v>
      </c>
      <c r="R6" s="7" t="str">
        <f t="shared" si="9"/>
        <v>수</v>
      </c>
      <c r="S6" s="10">
        <f>SUMIFS('근무표(입력)'!$F$3:$F$33, '근무표(입력)'!$C$3:$C$33, $Q$1, '근무표(입력)'!$A$3:$A$33, $A6) + SUMIFS('근무표(입력)'!$J$3:$J$33, '근무표(입력)'!$G$3:$G$33, $Q$1, '근무표(입력)'!$A$3:$A$33, $A6) + SUMIFS('근무표(입력)'!$N$3:$N$33, '근무표(입력)'!$K$3:$K$33, $Q$1, '근무표(입력)'!$A$3:$A$33, $A6) + SUMIFS('근무표(입력)'!$R$3:$R$33, '근무표(입력)'!$O$3:$O$33, $Q$1, '근무표(입력)'!$A$3:$A$33, $A6)</f>
        <v>0</v>
      </c>
      <c r="U6" s="9">
        <f t="shared" si="10"/>
        <v>46057</v>
      </c>
      <c r="V6" s="7" t="str">
        <f t="shared" si="11"/>
        <v>수</v>
      </c>
      <c r="W6" s="10">
        <f>SUMIFS('근무표(입력)'!$F$3:$F$33, '근무표(입력)'!$C$3:$C$33, $U$1, '근무표(입력)'!$A$3:$A$33, $A6) + SUMIFS('근무표(입력)'!$J$3:$J$33, '근무표(입력)'!$G$3:$G$33, $U$1, '근무표(입력)'!$A$3:$A$33, $A6) + SUMIFS('근무표(입력)'!$N$3:$N$33, '근무표(입력)'!$K$3:$K$33, $U$1, '근무표(입력)'!$A$3:$A$33, $A6) + SUMIFS('근무표(입력)'!$R$3:$R$33, '근무표(입력)'!$O$3:$O$33, $U$1, '근무표(입력)'!$A$3:$A$33, $A6)</f>
        <v>0</v>
      </c>
      <c r="Y6" s="9">
        <f t="shared" si="12"/>
        <v>46057</v>
      </c>
      <c r="Z6" s="7" t="str">
        <f t="shared" si="13"/>
        <v>수</v>
      </c>
      <c r="AA6" s="10">
        <f>SUMIFS('근무표(입력)'!$F$3:$F$33, '근무표(입력)'!$C$3:$C$33, $Y$1, '근무표(입력)'!$A$3:$A$33, $A6) + SUMIFS('근무표(입력)'!$J$3:$J$33, '근무표(입력)'!$G$3:$G$33, $Y$1, '근무표(입력)'!$A$3:$A$33, $A6) + SUMIFS('근무표(입력)'!$N$3:$N$33, '근무표(입력)'!$K$3:$K$33, $Y$1, '근무표(입력)'!$A$3:$A$33, $A6) + SUMIFS('근무표(입력)'!$R$3:$R$33, '근무표(입력)'!$O$3:$O$33, $Y$1, '근무표(입력)'!$A$3:$A$33, $A6)</f>
        <v>0</v>
      </c>
    </row>
    <row r="7" spans="1:27" x14ac:dyDescent="0.3">
      <c r="A7" s="12">
        <f t="shared" si="0"/>
        <v>46058</v>
      </c>
      <c r="B7" s="7" t="str">
        <f t="shared" si="1"/>
        <v>목</v>
      </c>
      <c r="C7" s="10">
        <f>SUMIFS('근무표(입력)'!$F$3:$F$33, '근무표(입력)'!$C$3:$C$33, $A$1, '근무표(입력)'!$A$3:$A$33, $A7) + SUMIFS('근무표(입력)'!$J$3:$J$33, '근무표(입력)'!$G$3:$G$33, $A$1, '근무표(입력)'!$A$3:$A$33, $A7) + SUMIFS('근무표(입력)'!$N$3:$N$33, '근무표(입력)'!$K$3:$K$33, $A$1, '근무표(입력)'!$A$3:$A$33, $A7) + SUMIFS('근무표(입력)'!$R$3:$R$33, '근무표(입력)'!$O$3:$O$33, $A$1, '근무표(입력)'!$A$3:$A$33, $A7)</f>
        <v>0</v>
      </c>
      <c r="E7" s="9">
        <f t="shared" si="2"/>
        <v>46058</v>
      </c>
      <c r="F7" s="7" t="str">
        <f t="shared" si="3"/>
        <v>목</v>
      </c>
      <c r="G7" s="10">
        <f>SUMIFS('근무표(입력)'!$F$3:$F$33, '근무표(입력)'!$C$3:$C$33, $E$1, '근무표(입력)'!$A$3:$A$33, $A7) + SUMIFS('근무표(입력)'!$J$3:$J$33, '근무표(입력)'!$G$3:$G$33, $E$1, '근무표(입력)'!$A$3:$A$33, $A7) + SUMIFS('근무표(입력)'!$N$3:$N$33, '근무표(입력)'!$K$3:$K$33, $E$1, '근무표(입력)'!$A$3:$A$33, $A7) + SUMIFS('근무표(입력)'!$R$3:$R$33, '근무표(입력)'!$O$3:$O$33, $E$1, '근무표(입력)'!$A$3:$A$33, $A7)</f>
        <v>0</v>
      </c>
      <c r="I7" s="9">
        <f t="shared" si="4"/>
        <v>46058</v>
      </c>
      <c r="J7" s="7" t="str">
        <f t="shared" si="5"/>
        <v>목</v>
      </c>
      <c r="K7" s="10">
        <f>SUMIFS('근무표(입력)'!$F$3:$F$33, '근무표(입력)'!$C$3:$C$33, $I$1, '근무표(입력)'!$A$3:$A$33, $A7) + SUMIFS('근무표(입력)'!$J$3:$J$33, '근무표(입력)'!$G$3:$G$33, $I$1, '근무표(입력)'!$A$3:$A$33, $A7) + SUMIFS('근무표(입력)'!$N$3:$N$33, '근무표(입력)'!$K$3:$K$33, $I$1, '근무표(입력)'!$A$3:$A$33, $A7) + SUMIFS('근무표(입력)'!$R$3:$R$33, '근무표(입력)'!$O$3:$O$33, $I$1, '근무표(입력)'!$A$3:$A$33, $A7)</f>
        <v>0</v>
      </c>
      <c r="M7" s="9">
        <f t="shared" si="6"/>
        <v>46058</v>
      </c>
      <c r="N7" s="7" t="str">
        <f t="shared" si="7"/>
        <v>목</v>
      </c>
      <c r="O7" s="10">
        <f>SUMIFS('근무표(입력)'!$F$3:$F$33, '근무표(입력)'!$C$3:$C$33, $M$1, '근무표(입력)'!$A$3:$A$33, $A7) + SUMIFS('근무표(입력)'!$J$3:$J$33, '근무표(입력)'!$G$3:$G$33, $M$1, '근무표(입력)'!$A$3:$A$33, $A7) + SUMIFS('근무표(입력)'!$N$3:$N$33, '근무표(입력)'!$K$3:$K$33, $M$1, '근무표(입력)'!$A$3:$A$33, $A7) + SUMIFS('근무표(입력)'!$R$3:$R$33, '근무표(입력)'!$O$3:$O$33, $M$1, '근무표(입력)'!$A$3:$A$33, $A7)</f>
        <v>0</v>
      </c>
      <c r="Q7" s="9">
        <f t="shared" si="8"/>
        <v>46058</v>
      </c>
      <c r="R7" s="7" t="str">
        <f t="shared" si="9"/>
        <v>목</v>
      </c>
      <c r="S7" s="10">
        <f>SUMIFS('근무표(입력)'!$F$3:$F$33, '근무표(입력)'!$C$3:$C$33, $Q$1, '근무표(입력)'!$A$3:$A$33, $A7) + SUMIFS('근무표(입력)'!$J$3:$J$33, '근무표(입력)'!$G$3:$G$33, $Q$1, '근무표(입력)'!$A$3:$A$33, $A7) + SUMIFS('근무표(입력)'!$N$3:$N$33, '근무표(입력)'!$K$3:$K$33, $Q$1, '근무표(입력)'!$A$3:$A$33, $A7) + SUMIFS('근무표(입력)'!$R$3:$R$33, '근무표(입력)'!$O$3:$O$33, $Q$1, '근무표(입력)'!$A$3:$A$33, $A7)</f>
        <v>0</v>
      </c>
      <c r="U7" s="9">
        <f t="shared" si="10"/>
        <v>46058</v>
      </c>
      <c r="V7" s="7" t="str">
        <f t="shared" si="11"/>
        <v>목</v>
      </c>
      <c r="W7" s="10">
        <f>SUMIFS('근무표(입력)'!$F$3:$F$33, '근무표(입력)'!$C$3:$C$33, $U$1, '근무표(입력)'!$A$3:$A$33, $A7) + SUMIFS('근무표(입력)'!$J$3:$J$33, '근무표(입력)'!$G$3:$G$33, $U$1, '근무표(입력)'!$A$3:$A$33, $A7) + SUMIFS('근무표(입력)'!$N$3:$N$33, '근무표(입력)'!$K$3:$K$33, $U$1, '근무표(입력)'!$A$3:$A$33, $A7) + SUMIFS('근무표(입력)'!$R$3:$R$33, '근무표(입력)'!$O$3:$O$33, $U$1, '근무표(입력)'!$A$3:$A$33, $A7)</f>
        <v>0</v>
      </c>
      <c r="Y7" s="9">
        <f t="shared" si="12"/>
        <v>46058</v>
      </c>
      <c r="Z7" s="7" t="str">
        <f t="shared" si="13"/>
        <v>목</v>
      </c>
      <c r="AA7" s="10">
        <f>SUMIFS('근무표(입력)'!$F$3:$F$33, '근무표(입력)'!$C$3:$C$33, $Y$1, '근무표(입력)'!$A$3:$A$33, $A7) + SUMIFS('근무표(입력)'!$J$3:$J$33, '근무표(입력)'!$G$3:$G$33, $Y$1, '근무표(입력)'!$A$3:$A$33, $A7) + SUMIFS('근무표(입력)'!$N$3:$N$33, '근무표(입력)'!$K$3:$K$33, $Y$1, '근무표(입력)'!$A$3:$A$33, $A7) + SUMIFS('근무표(입력)'!$R$3:$R$33, '근무표(입력)'!$O$3:$O$33, $Y$1, '근무표(입력)'!$A$3:$A$33, $A7)</f>
        <v>0</v>
      </c>
    </row>
    <row r="8" spans="1:27" x14ac:dyDescent="0.3">
      <c r="A8" s="12">
        <f t="shared" si="0"/>
        <v>46059</v>
      </c>
      <c r="B8" s="7" t="str">
        <f t="shared" si="1"/>
        <v>금</v>
      </c>
      <c r="C8" s="10">
        <f>SUMIFS('근무표(입력)'!$F$3:$F$33, '근무표(입력)'!$C$3:$C$33, $A$1, '근무표(입력)'!$A$3:$A$33, $A8) + SUMIFS('근무표(입력)'!$J$3:$J$33, '근무표(입력)'!$G$3:$G$33, $A$1, '근무표(입력)'!$A$3:$A$33, $A8) + SUMIFS('근무표(입력)'!$N$3:$N$33, '근무표(입력)'!$K$3:$K$33, $A$1, '근무표(입력)'!$A$3:$A$33, $A8) + SUMIFS('근무표(입력)'!$R$3:$R$33, '근무표(입력)'!$O$3:$O$33, $A$1, '근무표(입력)'!$A$3:$A$33, $A8)</f>
        <v>0</v>
      </c>
      <c r="E8" s="9">
        <f t="shared" si="2"/>
        <v>46059</v>
      </c>
      <c r="F8" s="7" t="str">
        <f t="shared" si="3"/>
        <v>금</v>
      </c>
      <c r="G8" s="10">
        <f>SUMIFS('근무표(입력)'!$F$3:$F$33, '근무표(입력)'!$C$3:$C$33, $E$1, '근무표(입력)'!$A$3:$A$33, $A8) + SUMIFS('근무표(입력)'!$J$3:$J$33, '근무표(입력)'!$G$3:$G$33, $E$1, '근무표(입력)'!$A$3:$A$33, $A8) + SUMIFS('근무표(입력)'!$N$3:$N$33, '근무표(입력)'!$K$3:$K$33, $E$1, '근무표(입력)'!$A$3:$A$33, $A8) + SUMIFS('근무표(입력)'!$R$3:$R$33, '근무표(입력)'!$O$3:$O$33, $E$1, '근무표(입력)'!$A$3:$A$33, $A8)</f>
        <v>0</v>
      </c>
      <c r="I8" s="9">
        <f t="shared" si="4"/>
        <v>46059</v>
      </c>
      <c r="J8" s="7" t="str">
        <f t="shared" si="5"/>
        <v>금</v>
      </c>
      <c r="K8" s="10">
        <f>SUMIFS('근무표(입력)'!$F$3:$F$33, '근무표(입력)'!$C$3:$C$33, $I$1, '근무표(입력)'!$A$3:$A$33, $A8) + SUMIFS('근무표(입력)'!$J$3:$J$33, '근무표(입력)'!$G$3:$G$33, $I$1, '근무표(입력)'!$A$3:$A$33, $A8) + SUMIFS('근무표(입력)'!$N$3:$N$33, '근무표(입력)'!$K$3:$K$33, $I$1, '근무표(입력)'!$A$3:$A$33, $A8) + SUMIFS('근무표(입력)'!$R$3:$R$33, '근무표(입력)'!$O$3:$O$33, $I$1, '근무표(입력)'!$A$3:$A$33, $A8)</f>
        <v>0</v>
      </c>
      <c r="M8" s="9">
        <f t="shared" si="6"/>
        <v>46059</v>
      </c>
      <c r="N8" s="7" t="str">
        <f t="shared" si="7"/>
        <v>금</v>
      </c>
      <c r="O8" s="10">
        <f>SUMIFS('근무표(입력)'!$F$3:$F$33, '근무표(입력)'!$C$3:$C$33, $M$1, '근무표(입력)'!$A$3:$A$33, $A8) + SUMIFS('근무표(입력)'!$J$3:$J$33, '근무표(입력)'!$G$3:$G$33, $M$1, '근무표(입력)'!$A$3:$A$33, $A8) + SUMIFS('근무표(입력)'!$N$3:$N$33, '근무표(입력)'!$K$3:$K$33, $M$1, '근무표(입력)'!$A$3:$A$33, $A8) + SUMIFS('근무표(입력)'!$R$3:$R$33, '근무표(입력)'!$O$3:$O$33, $M$1, '근무표(입력)'!$A$3:$A$33, $A8)</f>
        <v>0</v>
      </c>
      <c r="Q8" s="9">
        <f t="shared" si="8"/>
        <v>46059</v>
      </c>
      <c r="R8" s="7" t="str">
        <f t="shared" si="9"/>
        <v>금</v>
      </c>
      <c r="S8" s="10">
        <f>SUMIFS('근무표(입력)'!$F$3:$F$33, '근무표(입력)'!$C$3:$C$33, $Q$1, '근무표(입력)'!$A$3:$A$33, $A8) + SUMIFS('근무표(입력)'!$J$3:$J$33, '근무표(입력)'!$G$3:$G$33, $Q$1, '근무표(입력)'!$A$3:$A$33, $A8) + SUMIFS('근무표(입력)'!$N$3:$N$33, '근무표(입력)'!$K$3:$K$33, $Q$1, '근무표(입력)'!$A$3:$A$33, $A8) + SUMIFS('근무표(입력)'!$R$3:$R$33, '근무표(입력)'!$O$3:$O$33, $Q$1, '근무표(입력)'!$A$3:$A$33, $A8)</f>
        <v>0</v>
      </c>
      <c r="U8" s="9">
        <f t="shared" si="10"/>
        <v>46059</v>
      </c>
      <c r="V8" s="7" t="str">
        <f t="shared" si="11"/>
        <v>금</v>
      </c>
      <c r="W8" s="10">
        <f>SUMIFS('근무표(입력)'!$F$3:$F$33, '근무표(입력)'!$C$3:$C$33, $U$1, '근무표(입력)'!$A$3:$A$33, $A8) + SUMIFS('근무표(입력)'!$J$3:$J$33, '근무표(입력)'!$G$3:$G$33, $U$1, '근무표(입력)'!$A$3:$A$33, $A8) + SUMIFS('근무표(입력)'!$N$3:$N$33, '근무표(입력)'!$K$3:$K$33, $U$1, '근무표(입력)'!$A$3:$A$33, $A8) + SUMIFS('근무표(입력)'!$R$3:$R$33, '근무표(입력)'!$O$3:$O$33, $U$1, '근무표(입력)'!$A$3:$A$33, $A8)</f>
        <v>0</v>
      </c>
      <c r="Y8" s="9">
        <f t="shared" si="12"/>
        <v>46059</v>
      </c>
      <c r="Z8" s="7" t="str">
        <f t="shared" si="13"/>
        <v>금</v>
      </c>
      <c r="AA8" s="10">
        <f>SUMIFS('근무표(입력)'!$F$3:$F$33, '근무표(입력)'!$C$3:$C$33, $Y$1, '근무표(입력)'!$A$3:$A$33, $A8) + SUMIFS('근무표(입력)'!$J$3:$J$33, '근무표(입력)'!$G$3:$G$33, $Y$1, '근무표(입력)'!$A$3:$A$33, $A8) + SUMIFS('근무표(입력)'!$N$3:$N$33, '근무표(입력)'!$K$3:$K$33, $Y$1, '근무표(입력)'!$A$3:$A$33, $A8) + SUMIFS('근무표(입력)'!$R$3:$R$33, '근무표(입력)'!$O$3:$O$33, $Y$1, '근무표(입력)'!$A$3:$A$33, $A8)</f>
        <v>0</v>
      </c>
    </row>
    <row r="9" spans="1:27" x14ac:dyDescent="0.3">
      <c r="A9" s="12">
        <f t="shared" si="0"/>
        <v>46060</v>
      </c>
      <c r="B9" s="7" t="str">
        <f t="shared" si="1"/>
        <v>토</v>
      </c>
      <c r="C9" s="10">
        <f>SUMIFS('근무표(입력)'!$F$3:$F$33, '근무표(입력)'!$C$3:$C$33, $A$1, '근무표(입력)'!$A$3:$A$33, $A9) + SUMIFS('근무표(입력)'!$J$3:$J$33, '근무표(입력)'!$G$3:$G$33, $A$1, '근무표(입력)'!$A$3:$A$33, $A9) + SUMIFS('근무표(입력)'!$N$3:$N$33, '근무표(입력)'!$K$3:$K$33, $A$1, '근무표(입력)'!$A$3:$A$33, $A9) + SUMIFS('근무표(입력)'!$R$3:$R$33, '근무표(입력)'!$O$3:$O$33, $A$1, '근무표(입력)'!$A$3:$A$33, $A9)</f>
        <v>0</v>
      </c>
      <c r="E9" s="9">
        <f t="shared" si="2"/>
        <v>46060</v>
      </c>
      <c r="F9" s="7" t="str">
        <f t="shared" si="3"/>
        <v>토</v>
      </c>
      <c r="G9" s="10">
        <f>SUMIFS('근무표(입력)'!$F$3:$F$33, '근무표(입력)'!$C$3:$C$33, $E$1, '근무표(입력)'!$A$3:$A$33, $A9) + SUMIFS('근무표(입력)'!$J$3:$J$33, '근무표(입력)'!$G$3:$G$33, $E$1, '근무표(입력)'!$A$3:$A$33, $A9) + SUMIFS('근무표(입력)'!$N$3:$N$33, '근무표(입력)'!$K$3:$K$33, $E$1, '근무표(입력)'!$A$3:$A$33, $A9) + SUMIFS('근무표(입력)'!$R$3:$R$33, '근무표(입력)'!$O$3:$O$33, $E$1, '근무표(입력)'!$A$3:$A$33, $A9)</f>
        <v>0</v>
      </c>
      <c r="I9" s="9">
        <f t="shared" si="4"/>
        <v>46060</v>
      </c>
      <c r="J9" s="7" t="str">
        <f t="shared" si="5"/>
        <v>토</v>
      </c>
      <c r="K9" s="10">
        <f>SUMIFS('근무표(입력)'!$F$3:$F$33, '근무표(입력)'!$C$3:$C$33, $I$1, '근무표(입력)'!$A$3:$A$33, $A9) + SUMIFS('근무표(입력)'!$J$3:$J$33, '근무표(입력)'!$G$3:$G$33, $I$1, '근무표(입력)'!$A$3:$A$33, $A9) + SUMIFS('근무표(입력)'!$N$3:$N$33, '근무표(입력)'!$K$3:$K$33, $I$1, '근무표(입력)'!$A$3:$A$33, $A9) + SUMIFS('근무표(입력)'!$R$3:$R$33, '근무표(입력)'!$O$3:$O$33, $I$1, '근무표(입력)'!$A$3:$A$33, $A9)</f>
        <v>0</v>
      </c>
      <c r="M9" s="9">
        <f t="shared" si="6"/>
        <v>46060</v>
      </c>
      <c r="N9" s="7" t="str">
        <f t="shared" si="7"/>
        <v>토</v>
      </c>
      <c r="O9" s="10">
        <f>SUMIFS('근무표(입력)'!$F$3:$F$33, '근무표(입력)'!$C$3:$C$33, $M$1, '근무표(입력)'!$A$3:$A$33, $A9) + SUMIFS('근무표(입력)'!$J$3:$J$33, '근무표(입력)'!$G$3:$G$33, $M$1, '근무표(입력)'!$A$3:$A$33, $A9) + SUMIFS('근무표(입력)'!$N$3:$N$33, '근무표(입력)'!$K$3:$K$33, $M$1, '근무표(입력)'!$A$3:$A$33, $A9) + SUMIFS('근무표(입력)'!$R$3:$R$33, '근무표(입력)'!$O$3:$O$33, $M$1, '근무표(입력)'!$A$3:$A$33, $A9)</f>
        <v>0</v>
      </c>
      <c r="Q9" s="9">
        <f t="shared" si="8"/>
        <v>46060</v>
      </c>
      <c r="R9" s="7" t="str">
        <f t="shared" si="9"/>
        <v>토</v>
      </c>
      <c r="S9" s="10">
        <f>SUMIFS('근무표(입력)'!$F$3:$F$33, '근무표(입력)'!$C$3:$C$33, $Q$1, '근무표(입력)'!$A$3:$A$33, $A9) + SUMIFS('근무표(입력)'!$J$3:$J$33, '근무표(입력)'!$G$3:$G$33, $Q$1, '근무표(입력)'!$A$3:$A$33, $A9) + SUMIFS('근무표(입력)'!$N$3:$N$33, '근무표(입력)'!$K$3:$K$33, $Q$1, '근무표(입력)'!$A$3:$A$33, $A9) + SUMIFS('근무표(입력)'!$R$3:$R$33, '근무표(입력)'!$O$3:$O$33, $Q$1, '근무표(입력)'!$A$3:$A$33, $A9)</f>
        <v>0</v>
      </c>
      <c r="U9" s="9">
        <f t="shared" si="10"/>
        <v>46060</v>
      </c>
      <c r="V9" s="7" t="str">
        <f t="shared" si="11"/>
        <v>토</v>
      </c>
      <c r="W9" s="10">
        <f>SUMIFS('근무표(입력)'!$F$3:$F$33, '근무표(입력)'!$C$3:$C$33, $U$1, '근무표(입력)'!$A$3:$A$33, $A9) + SUMIFS('근무표(입력)'!$J$3:$J$33, '근무표(입력)'!$G$3:$G$33, $U$1, '근무표(입력)'!$A$3:$A$33, $A9) + SUMIFS('근무표(입력)'!$N$3:$N$33, '근무표(입력)'!$K$3:$K$33, $U$1, '근무표(입력)'!$A$3:$A$33, $A9) + SUMIFS('근무표(입력)'!$R$3:$R$33, '근무표(입력)'!$O$3:$O$33, $U$1, '근무표(입력)'!$A$3:$A$33, $A9)</f>
        <v>0</v>
      </c>
      <c r="Y9" s="9">
        <f t="shared" si="12"/>
        <v>46060</v>
      </c>
      <c r="Z9" s="7" t="str">
        <f t="shared" si="13"/>
        <v>토</v>
      </c>
      <c r="AA9" s="10">
        <f>SUMIFS('근무표(입력)'!$F$3:$F$33, '근무표(입력)'!$C$3:$C$33, $Y$1, '근무표(입력)'!$A$3:$A$33, $A9) + SUMIFS('근무표(입력)'!$J$3:$J$33, '근무표(입력)'!$G$3:$G$33, $Y$1, '근무표(입력)'!$A$3:$A$33, $A9) + SUMIFS('근무표(입력)'!$N$3:$N$33, '근무표(입력)'!$K$3:$K$33, $Y$1, '근무표(입력)'!$A$3:$A$33, $A9) + SUMIFS('근무표(입력)'!$R$3:$R$33, '근무표(입력)'!$O$3:$O$33, $Y$1, '근무표(입력)'!$A$3:$A$33, $A9)</f>
        <v>0</v>
      </c>
    </row>
    <row r="10" spans="1:27" x14ac:dyDescent="0.3">
      <c r="A10" s="12">
        <f t="shared" si="0"/>
        <v>46061</v>
      </c>
      <c r="B10" s="7" t="str">
        <f t="shared" si="1"/>
        <v>일</v>
      </c>
      <c r="C10" s="10">
        <f>SUMIFS('근무표(입력)'!$F$3:$F$33, '근무표(입력)'!$C$3:$C$33, $A$1, '근무표(입력)'!$A$3:$A$33, $A10) + SUMIFS('근무표(입력)'!$J$3:$J$33, '근무표(입력)'!$G$3:$G$33, $A$1, '근무표(입력)'!$A$3:$A$33, $A10) + SUMIFS('근무표(입력)'!$N$3:$N$33, '근무표(입력)'!$K$3:$K$33, $A$1, '근무표(입력)'!$A$3:$A$33, $A10) + SUMIFS('근무표(입력)'!$R$3:$R$33, '근무표(입력)'!$O$3:$O$33, $A$1, '근무표(입력)'!$A$3:$A$33, $A10)</f>
        <v>0</v>
      </c>
      <c r="E10" s="9">
        <f t="shared" si="2"/>
        <v>46061</v>
      </c>
      <c r="F10" s="7" t="str">
        <f t="shared" si="3"/>
        <v>일</v>
      </c>
      <c r="G10" s="10">
        <f>SUMIFS('근무표(입력)'!$F$3:$F$33, '근무표(입력)'!$C$3:$C$33, $E$1, '근무표(입력)'!$A$3:$A$33, $A10) + SUMIFS('근무표(입력)'!$J$3:$J$33, '근무표(입력)'!$G$3:$G$33, $E$1, '근무표(입력)'!$A$3:$A$33, $A10) + SUMIFS('근무표(입력)'!$N$3:$N$33, '근무표(입력)'!$K$3:$K$33, $E$1, '근무표(입력)'!$A$3:$A$33, $A10) + SUMIFS('근무표(입력)'!$R$3:$R$33, '근무표(입력)'!$O$3:$O$33, $E$1, '근무표(입력)'!$A$3:$A$33, $A10)</f>
        <v>0</v>
      </c>
      <c r="I10" s="9">
        <f t="shared" si="4"/>
        <v>46061</v>
      </c>
      <c r="J10" s="7" t="str">
        <f t="shared" si="5"/>
        <v>일</v>
      </c>
      <c r="K10" s="10">
        <f>SUMIFS('근무표(입력)'!$F$3:$F$33, '근무표(입력)'!$C$3:$C$33, $I$1, '근무표(입력)'!$A$3:$A$33, $A10) + SUMIFS('근무표(입력)'!$J$3:$J$33, '근무표(입력)'!$G$3:$G$33, $I$1, '근무표(입력)'!$A$3:$A$33, $A10) + SUMIFS('근무표(입력)'!$N$3:$N$33, '근무표(입력)'!$K$3:$K$33, $I$1, '근무표(입력)'!$A$3:$A$33, $A10) + SUMIFS('근무표(입력)'!$R$3:$R$33, '근무표(입력)'!$O$3:$O$33, $I$1, '근무표(입력)'!$A$3:$A$33, $A10)</f>
        <v>0</v>
      </c>
      <c r="M10" s="9">
        <f t="shared" si="6"/>
        <v>46061</v>
      </c>
      <c r="N10" s="7" t="str">
        <f t="shared" si="7"/>
        <v>일</v>
      </c>
      <c r="O10" s="10">
        <f>SUMIFS('근무표(입력)'!$F$3:$F$33, '근무표(입력)'!$C$3:$C$33, $M$1, '근무표(입력)'!$A$3:$A$33, $A10) + SUMIFS('근무표(입력)'!$J$3:$J$33, '근무표(입력)'!$G$3:$G$33, $M$1, '근무표(입력)'!$A$3:$A$33, $A10) + SUMIFS('근무표(입력)'!$N$3:$N$33, '근무표(입력)'!$K$3:$K$33, $M$1, '근무표(입력)'!$A$3:$A$33, $A10) + SUMIFS('근무표(입력)'!$R$3:$R$33, '근무표(입력)'!$O$3:$O$33, $M$1, '근무표(입력)'!$A$3:$A$33, $A10)</f>
        <v>0</v>
      </c>
      <c r="Q10" s="9">
        <f t="shared" si="8"/>
        <v>46061</v>
      </c>
      <c r="R10" s="7" t="str">
        <f t="shared" si="9"/>
        <v>일</v>
      </c>
      <c r="S10" s="10">
        <f>SUMIFS('근무표(입력)'!$F$3:$F$33, '근무표(입력)'!$C$3:$C$33, $Q$1, '근무표(입력)'!$A$3:$A$33, $A10) + SUMIFS('근무표(입력)'!$J$3:$J$33, '근무표(입력)'!$G$3:$G$33, $Q$1, '근무표(입력)'!$A$3:$A$33, $A10) + SUMIFS('근무표(입력)'!$N$3:$N$33, '근무표(입력)'!$K$3:$K$33, $Q$1, '근무표(입력)'!$A$3:$A$33, $A10) + SUMIFS('근무표(입력)'!$R$3:$R$33, '근무표(입력)'!$O$3:$O$33, $Q$1, '근무표(입력)'!$A$3:$A$33, $A10)</f>
        <v>0</v>
      </c>
      <c r="U10" s="9">
        <f t="shared" si="10"/>
        <v>46061</v>
      </c>
      <c r="V10" s="7" t="str">
        <f t="shared" si="11"/>
        <v>일</v>
      </c>
      <c r="W10" s="10">
        <f>SUMIFS('근무표(입력)'!$F$3:$F$33, '근무표(입력)'!$C$3:$C$33, $U$1, '근무표(입력)'!$A$3:$A$33, $A10) + SUMIFS('근무표(입력)'!$J$3:$J$33, '근무표(입력)'!$G$3:$G$33, $U$1, '근무표(입력)'!$A$3:$A$33, $A10) + SUMIFS('근무표(입력)'!$N$3:$N$33, '근무표(입력)'!$K$3:$K$33, $U$1, '근무표(입력)'!$A$3:$A$33, $A10) + SUMIFS('근무표(입력)'!$R$3:$R$33, '근무표(입력)'!$O$3:$O$33, $U$1, '근무표(입력)'!$A$3:$A$33, $A10)</f>
        <v>0</v>
      </c>
      <c r="Y10" s="9">
        <f t="shared" si="12"/>
        <v>46061</v>
      </c>
      <c r="Z10" s="7" t="str">
        <f t="shared" si="13"/>
        <v>일</v>
      </c>
      <c r="AA10" s="10">
        <f>SUMIFS('근무표(입력)'!$F$3:$F$33, '근무표(입력)'!$C$3:$C$33, $Y$1, '근무표(입력)'!$A$3:$A$33, $A10) + SUMIFS('근무표(입력)'!$J$3:$J$33, '근무표(입력)'!$G$3:$G$33, $Y$1, '근무표(입력)'!$A$3:$A$33, $A10) + SUMIFS('근무표(입력)'!$N$3:$N$33, '근무표(입력)'!$K$3:$K$33, $Y$1, '근무표(입력)'!$A$3:$A$33, $A10) + SUMIFS('근무표(입력)'!$R$3:$R$33, '근무표(입력)'!$O$3:$O$33, $Y$1, '근무표(입력)'!$A$3:$A$33, $A10)</f>
        <v>0</v>
      </c>
    </row>
    <row r="11" spans="1:27" x14ac:dyDescent="0.3">
      <c r="A11" s="12">
        <f t="shared" si="0"/>
        <v>46062</v>
      </c>
      <c r="B11" s="7" t="str">
        <f t="shared" si="1"/>
        <v>월</v>
      </c>
      <c r="C11" s="10">
        <f>SUMIFS('근무표(입력)'!$F$3:$F$33, '근무표(입력)'!$C$3:$C$33, $A$1, '근무표(입력)'!$A$3:$A$33, $A11) + SUMIFS('근무표(입력)'!$J$3:$J$33, '근무표(입력)'!$G$3:$G$33, $A$1, '근무표(입력)'!$A$3:$A$33, $A11) + SUMIFS('근무표(입력)'!$N$3:$N$33, '근무표(입력)'!$K$3:$K$33, $A$1, '근무표(입력)'!$A$3:$A$33, $A11) + SUMIFS('근무표(입력)'!$R$3:$R$33, '근무표(입력)'!$O$3:$O$33, $A$1, '근무표(입력)'!$A$3:$A$33, $A11)</f>
        <v>0</v>
      </c>
      <c r="E11" s="9">
        <f t="shared" si="2"/>
        <v>46062</v>
      </c>
      <c r="F11" s="7" t="str">
        <f t="shared" si="3"/>
        <v>월</v>
      </c>
      <c r="G11" s="10">
        <f>SUMIFS('근무표(입력)'!$F$3:$F$33, '근무표(입력)'!$C$3:$C$33, $E$1, '근무표(입력)'!$A$3:$A$33, $A11) + SUMIFS('근무표(입력)'!$J$3:$J$33, '근무표(입력)'!$G$3:$G$33, $E$1, '근무표(입력)'!$A$3:$A$33, $A11) + SUMIFS('근무표(입력)'!$N$3:$N$33, '근무표(입력)'!$K$3:$K$33, $E$1, '근무표(입력)'!$A$3:$A$33, $A11) + SUMIFS('근무표(입력)'!$R$3:$R$33, '근무표(입력)'!$O$3:$O$33, $E$1, '근무표(입력)'!$A$3:$A$33, $A11)</f>
        <v>0</v>
      </c>
      <c r="I11" s="9">
        <f t="shared" si="4"/>
        <v>46062</v>
      </c>
      <c r="J11" s="7" t="str">
        <f t="shared" si="5"/>
        <v>월</v>
      </c>
      <c r="K11" s="10">
        <f>SUMIFS('근무표(입력)'!$F$3:$F$33, '근무표(입력)'!$C$3:$C$33, $I$1, '근무표(입력)'!$A$3:$A$33, $A11) + SUMIFS('근무표(입력)'!$J$3:$J$33, '근무표(입력)'!$G$3:$G$33, $I$1, '근무표(입력)'!$A$3:$A$33, $A11) + SUMIFS('근무표(입력)'!$N$3:$N$33, '근무표(입력)'!$K$3:$K$33, $I$1, '근무표(입력)'!$A$3:$A$33, $A11) + SUMIFS('근무표(입력)'!$R$3:$R$33, '근무표(입력)'!$O$3:$O$33, $I$1, '근무표(입력)'!$A$3:$A$33, $A11)</f>
        <v>0</v>
      </c>
      <c r="M11" s="9">
        <f t="shared" si="6"/>
        <v>46062</v>
      </c>
      <c r="N11" s="7" t="str">
        <f t="shared" si="7"/>
        <v>월</v>
      </c>
      <c r="O11" s="10">
        <f>SUMIFS('근무표(입력)'!$F$3:$F$33, '근무표(입력)'!$C$3:$C$33, $M$1, '근무표(입력)'!$A$3:$A$33, $A11) + SUMIFS('근무표(입력)'!$J$3:$J$33, '근무표(입력)'!$G$3:$G$33, $M$1, '근무표(입력)'!$A$3:$A$33, $A11) + SUMIFS('근무표(입력)'!$N$3:$N$33, '근무표(입력)'!$K$3:$K$33, $M$1, '근무표(입력)'!$A$3:$A$33, $A11) + SUMIFS('근무표(입력)'!$R$3:$R$33, '근무표(입력)'!$O$3:$O$33, $M$1, '근무표(입력)'!$A$3:$A$33, $A11)</f>
        <v>0</v>
      </c>
      <c r="Q11" s="9">
        <f t="shared" si="8"/>
        <v>46062</v>
      </c>
      <c r="R11" s="7" t="str">
        <f t="shared" si="9"/>
        <v>월</v>
      </c>
      <c r="S11" s="10">
        <f>SUMIFS('근무표(입력)'!$F$3:$F$33, '근무표(입력)'!$C$3:$C$33, $Q$1, '근무표(입력)'!$A$3:$A$33, $A11) + SUMIFS('근무표(입력)'!$J$3:$J$33, '근무표(입력)'!$G$3:$G$33, $Q$1, '근무표(입력)'!$A$3:$A$33, $A11) + SUMIFS('근무표(입력)'!$N$3:$N$33, '근무표(입력)'!$K$3:$K$33, $Q$1, '근무표(입력)'!$A$3:$A$33, $A11) + SUMIFS('근무표(입력)'!$R$3:$R$33, '근무표(입력)'!$O$3:$O$33, $Q$1, '근무표(입력)'!$A$3:$A$33, $A11)</f>
        <v>0</v>
      </c>
      <c r="U11" s="9">
        <f t="shared" si="10"/>
        <v>46062</v>
      </c>
      <c r="V11" s="7" t="str">
        <f t="shared" si="11"/>
        <v>월</v>
      </c>
      <c r="W11" s="10">
        <f>SUMIFS('근무표(입력)'!$F$3:$F$33, '근무표(입력)'!$C$3:$C$33, $U$1, '근무표(입력)'!$A$3:$A$33, $A11) + SUMIFS('근무표(입력)'!$J$3:$J$33, '근무표(입력)'!$G$3:$G$33, $U$1, '근무표(입력)'!$A$3:$A$33, $A11) + SUMIFS('근무표(입력)'!$N$3:$N$33, '근무표(입력)'!$K$3:$K$33, $U$1, '근무표(입력)'!$A$3:$A$33, $A11) + SUMIFS('근무표(입력)'!$R$3:$R$33, '근무표(입력)'!$O$3:$O$33, $U$1, '근무표(입력)'!$A$3:$A$33, $A11)</f>
        <v>0</v>
      </c>
      <c r="Y11" s="9">
        <f t="shared" si="12"/>
        <v>46062</v>
      </c>
      <c r="Z11" s="7" t="str">
        <f t="shared" si="13"/>
        <v>월</v>
      </c>
      <c r="AA11" s="10">
        <f>SUMIFS('근무표(입력)'!$F$3:$F$33, '근무표(입력)'!$C$3:$C$33, $Y$1, '근무표(입력)'!$A$3:$A$33, $A11) + SUMIFS('근무표(입력)'!$J$3:$J$33, '근무표(입력)'!$G$3:$G$33, $Y$1, '근무표(입력)'!$A$3:$A$33, $A11) + SUMIFS('근무표(입력)'!$N$3:$N$33, '근무표(입력)'!$K$3:$K$33, $Y$1, '근무표(입력)'!$A$3:$A$33, $A11) + SUMIFS('근무표(입력)'!$R$3:$R$33, '근무표(입력)'!$O$3:$O$33, $Y$1, '근무표(입력)'!$A$3:$A$33, $A11)</f>
        <v>0</v>
      </c>
    </row>
    <row r="12" spans="1:27" x14ac:dyDescent="0.3">
      <c r="A12" s="12">
        <f t="shared" si="0"/>
        <v>46063</v>
      </c>
      <c r="B12" s="7" t="str">
        <f t="shared" si="1"/>
        <v>화</v>
      </c>
      <c r="C12" s="10">
        <f>SUMIFS('근무표(입력)'!$F$3:$F$33, '근무표(입력)'!$C$3:$C$33, $A$1, '근무표(입력)'!$A$3:$A$33, $A12) + SUMIFS('근무표(입력)'!$J$3:$J$33, '근무표(입력)'!$G$3:$G$33, $A$1, '근무표(입력)'!$A$3:$A$33, $A12) + SUMIFS('근무표(입력)'!$N$3:$N$33, '근무표(입력)'!$K$3:$K$33, $A$1, '근무표(입력)'!$A$3:$A$33, $A12) + SUMIFS('근무표(입력)'!$R$3:$R$33, '근무표(입력)'!$O$3:$O$33, $A$1, '근무표(입력)'!$A$3:$A$33, $A12)</f>
        <v>0</v>
      </c>
      <c r="E12" s="9">
        <f t="shared" si="2"/>
        <v>46063</v>
      </c>
      <c r="F12" s="7" t="str">
        <f t="shared" si="3"/>
        <v>화</v>
      </c>
      <c r="G12" s="10">
        <f>SUMIFS('근무표(입력)'!$F$3:$F$33, '근무표(입력)'!$C$3:$C$33, $E$1, '근무표(입력)'!$A$3:$A$33, $A12) + SUMIFS('근무표(입력)'!$J$3:$J$33, '근무표(입력)'!$G$3:$G$33, $E$1, '근무표(입력)'!$A$3:$A$33, $A12) + SUMIFS('근무표(입력)'!$N$3:$N$33, '근무표(입력)'!$K$3:$K$33, $E$1, '근무표(입력)'!$A$3:$A$33, $A12) + SUMIFS('근무표(입력)'!$R$3:$R$33, '근무표(입력)'!$O$3:$O$33, $E$1, '근무표(입력)'!$A$3:$A$33, $A12)</f>
        <v>0</v>
      </c>
      <c r="I12" s="9">
        <f t="shared" si="4"/>
        <v>46063</v>
      </c>
      <c r="J12" s="7" t="str">
        <f t="shared" si="5"/>
        <v>화</v>
      </c>
      <c r="K12" s="10">
        <f>SUMIFS('근무표(입력)'!$F$3:$F$33, '근무표(입력)'!$C$3:$C$33, $I$1, '근무표(입력)'!$A$3:$A$33, $A12) + SUMIFS('근무표(입력)'!$J$3:$J$33, '근무표(입력)'!$G$3:$G$33, $I$1, '근무표(입력)'!$A$3:$A$33, $A12) + SUMIFS('근무표(입력)'!$N$3:$N$33, '근무표(입력)'!$K$3:$K$33, $I$1, '근무표(입력)'!$A$3:$A$33, $A12) + SUMIFS('근무표(입력)'!$R$3:$R$33, '근무표(입력)'!$O$3:$O$33, $I$1, '근무표(입력)'!$A$3:$A$33, $A12)</f>
        <v>0</v>
      </c>
      <c r="M12" s="9">
        <f t="shared" si="6"/>
        <v>46063</v>
      </c>
      <c r="N12" s="7" t="str">
        <f t="shared" si="7"/>
        <v>화</v>
      </c>
      <c r="O12" s="10">
        <f>SUMIFS('근무표(입력)'!$F$3:$F$33, '근무표(입력)'!$C$3:$C$33, $M$1, '근무표(입력)'!$A$3:$A$33, $A12) + SUMIFS('근무표(입력)'!$J$3:$J$33, '근무표(입력)'!$G$3:$G$33, $M$1, '근무표(입력)'!$A$3:$A$33, $A12) + SUMIFS('근무표(입력)'!$N$3:$N$33, '근무표(입력)'!$K$3:$K$33, $M$1, '근무표(입력)'!$A$3:$A$33, $A12) + SUMIFS('근무표(입력)'!$R$3:$R$33, '근무표(입력)'!$O$3:$O$33, $M$1, '근무표(입력)'!$A$3:$A$33, $A12)</f>
        <v>0</v>
      </c>
      <c r="Q12" s="9">
        <f t="shared" si="8"/>
        <v>46063</v>
      </c>
      <c r="R12" s="7" t="str">
        <f t="shared" si="9"/>
        <v>화</v>
      </c>
      <c r="S12" s="10">
        <f>SUMIFS('근무표(입력)'!$F$3:$F$33, '근무표(입력)'!$C$3:$C$33, $Q$1, '근무표(입력)'!$A$3:$A$33, $A12) + SUMIFS('근무표(입력)'!$J$3:$J$33, '근무표(입력)'!$G$3:$G$33, $Q$1, '근무표(입력)'!$A$3:$A$33, $A12) + SUMIFS('근무표(입력)'!$N$3:$N$33, '근무표(입력)'!$K$3:$K$33, $Q$1, '근무표(입력)'!$A$3:$A$33, $A12) + SUMIFS('근무표(입력)'!$R$3:$R$33, '근무표(입력)'!$O$3:$O$33, $Q$1, '근무표(입력)'!$A$3:$A$33, $A12)</f>
        <v>0</v>
      </c>
      <c r="U12" s="9">
        <f t="shared" si="10"/>
        <v>46063</v>
      </c>
      <c r="V12" s="7" t="str">
        <f t="shared" si="11"/>
        <v>화</v>
      </c>
      <c r="W12" s="10">
        <f>SUMIFS('근무표(입력)'!$F$3:$F$33, '근무표(입력)'!$C$3:$C$33, $U$1, '근무표(입력)'!$A$3:$A$33, $A12) + SUMIFS('근무표(입력)'!$J$3:$J$33, '근무표(입력)'!$G$3:$G$33, $U$1, '근무표(입력)'!$A$3:$A$33, $A12) + SUMIFS('근무표(입력)'!$N$3:$N$33, '근무표(입력)'!$K$3:$K$33, $U$1, '근무표(입력)'!$A$3:$A$33, $A12) + SUMIFS('근무표(입력)'!$R$3:$R$33, '근무표(입력)'!$O$3:$O$33, $U$1, '근무표(입력)'!$A$3:$A$33, $A12)</f>
        <v>0</v>
      </c>
      <c r="Y12" s="9">
        <f t="shared" si="12"/>
        <v>46063</v>
      </c>
      <c r="Z12" s="7" t="str">
        <f t="shared" si="13"/>
        <v>화</v>
      </c>
      <c r="AA12" s="10">
        <f>SUMIFS('근무표(입력)'!$F$3:$F$33, '근무표(입력)'!$C$3:$C$33, $Y$1, '근무표(입력)'!$A$3:$A$33, $A12) + SUMIFS('근무표(입력)'!$J$3:$J$33, '근무표(입력)'!$G$3:$G$33, $Y$1, '근무표(입력)'!$A$3:$A$33, $A12) + SUMIFS('근무표(입력)'!$N$3:$N$33, '근무표(입력)'!$K$3:$K$33, $Y$1, '근무표(입력)'!$A$3:$A$33, $A12) + SUMIFS('근무표(입력)'!$R$3:$R$33, '근무표(입력)'!$O$3:$O$33, $Y$1, '근무표(입력)'!$A$3:$A$33, $A12)</f>
        <v>0</v>
      </c>
    </row>
    <row r="13" spans="1:27" x14ac:dyDescent="0.3">
      <c r="A13" s="12">
        <f t="shared" si="0"/>
        <v>46064</v>
      </c>
      <c r="B13" s="7" t="str">
        <f t="shared" si="1"/>
        <v>수</v>
      </c>
      <c r="C13" s="10">
        <f>SUMIFS('근무표(입력)'!$F$3:$F$33, '근무표(입력)'!$C$3:$C$33, $A$1, '근무표(입력)'!$A$3:$A$33, $A13) + SUMIFS('근무표(입력)'!$J$3:$J$33, '근무표(입력)'!$G$3:$G$33, $A$1, '근무표(입력)'!$A$3:$A$33, $A13) + SUMIFS('근무표(입력)'!$N$3:$N$33, '근무표(입력)'!$K$3:$K$33, $A$1, '근무표(입력)'!$A$3:$A$33, $A13) + SUMIFS('근무표(입력)'!$R$3:$R$33, '근무표(입력)'!$O$3:$O$33, $A$1, '근무표(입력)'!$A$3:$A$33, $A13)</f>
        <v>0</v>
      </c>
      <c r="E13" s="9">
        <f t="shared" si="2"/>
        <v>46064</v>
      </c>
      <c r="F13" s="7" t="str">
        <f t="shared" si="3"/>
        <v>수</v>
      </c>
      <c r="G13" s="10">
        <f>SUMIFS('근무표(입력)'!$F$3:$F$33, '근무표(입력)'!$C$3:$C$33, $E$1, '근무표(입력)'!$A$3:$A$33, $A13) + SUMIFS('근무표(입력)'!$J$3:$J$33, '근무표(입력)'!$G$3:$G$33, $E$1, '근무표(입력)'!$A$3:$A$33, $A13) + SUMIFS('근무표(입력)'!$N$3:$N$33, '근무표(입력)'!$K$3:$K$33, $E$1, '근무표(입력)'!$A$3:$A$33, $A13) + SUMIFS('근무표(입력)'!$R$3:$R$33, '근무표(입력)'!$O$3:$O$33, $E$1, '근무표(입력)'!$A$3:$A$33, $A13)</f>
        <v>0</v>
      </c>
      <c r="I13" s="9">
        <f t="shared" si="4"/>
        <v>46064</v>
      </c>
      <c r="J13" s="7" t="str">
        <f t="shared" si="5"/>
        <v>수</v>
      </c>
      <c r="K13" s="10">
        <f>SUMIFS('근무표(입력)'!$F$3:$F$33, '근무표(입력)'!$C$3:$C$33, $I$1, '근무표(입력)'!$A$3:$A$33, $A13) + SUMIFS('근무표(입력)'!$J$3:$J$33, '근무표(입력)'!$G$3:$G$33, $I$1, '근무표(입력)'!$A$3:$A$33, $A13) + SUMIFS('근무표(입력)'!$N$3:$N$33, '근무표(입력)'!$K$3:$K$33, $I$1, '근무표(입력)'!$A$3:$A$33, $A13) + SUMIFS('근무표(입력)'!$R$3:$R$33, '근무표(입력)'!$O$3:$O$33, $I$1, '근무표(입력)'!$A$3:$A$33, $A13)</f>
        <v>0</v>
      </c>
      <c r="M13" s="9">
        <f t="shared" si="6"/>
        <v>46064</v>
      </c>
      <c r="N13" s="7" t="str">
        <f t="shared" si="7"/>
        <v>수</v>
      </c>
      <c r="O13" s="10">
        <f>SUMIFS('근무표(입력)'!$F$3:$F$33, '근무표(입력)'!$C$3:$C$33, $M$1, '근무표(입력)'!$A$3:$A$33, $A13) + SUMIFS('근무표(입력)'!$J$3:$J$33, '근무표(입력)'!$G$3:$G$33, $M$1, '근무표(입력)'!$A$3:$A$33, $A13) + SUMIFS('근무표(입력)'!$N$3:$N$33, '근무표(입력)'!$K$3:$K$33, $M$1, '근무표(입력)'!$A$3:$A$33, $A13) + SUMIFS('근무표(입력)'!$R$3:$R$33, '근무표(입력)'!$O$3:$O$33, $M$1, '근무표(입력)'!$A$3:$A$33, $A13)</f>
        <v>0</v>
      </c>
      <c r="Q13" s="9">
        <f t="shared" si="8"/>
        <v>46064</v>
      </c>
      <c r="R13" s="7" t="str">
        <f t="shared" si="9"/>
        <v>수</v>
      </c>
      <c r="S13" s="10">
        <f>SUMIFS('근무표(입력)'!$F$3:$F$33, '근무표(입력)'!$C$3:$C$33, $Q$1, '근무표(입력)'!$A$3:$A$33, $A13) + SUMIFS('근무표(입력)'!$J$3:$J$33, '근무표(입력)'!$G$3:$G$33, $Q$1, '근무표(입력)'!$A$3:$A$33, $A13) + SUMIFS('근무표(입력)'!$N$3:$N$33, '근무표(입력)'!$K$3:$K$33, $Q$1, '근무표(입력)'!$A$3:$A$33, $A13) + SUMIFS('근무표(입력)'!$R$3:$R$33, '근무표(입력)'!$O$3:$O$33, $Q$1, '근무표(입력)'!$A$3:$A$33, $A13)</f>
        <v>0</v>
      </c>
      <c r="U13" s="9">
        <f t="shared" si="10"/>
        <v>46064</v>
      </c>
      <c r="V13" s="7" t="str">
        <f t="shared" si="11"/>
        <v>수</v>
      </c>
      <c r="W13" s="10">
        <f>SUMIFS('근무표(입력)'!$F$3:$F$33, '근무표(입력)'!$C$3:$C$33, $U$1, '근무표(입력)'!$A$3:$A$33, $A13) + SUMIFS('근무표(입력)'!$J$3:$J$33, '근무표(입력)'!$G$3:$G$33, $U$1, '근무표(입력)'!$A$3:$A$33, $A13) + SUMIFS('근무표(입력)'!$N$3:$N$33, '근무표(입력)'!$K$3:$K$33, $U$1, '근무표(입력)'!$A$3:$A$33, $A13) + SUMIFS('근무표(입력)'!$R$3:$R$33, '근무표(입력)'!$O$3:$O$33, $U$1, '근무표(입력)'!$A$3:$A$33, $A13)</f>
        <v>0</v>
      </c>
      <c r="Y13" s="9">
        <f t="shared" si="12"/>
        <v>46064</v>
      </c>
      <c r="Z13" s="7" t="str">
        <f t="shared" si="13"/>
        <v>수</v>
      </c>
      <c r="AA13" s="10">
        <f>SUMIFS('근무표(입력)'!$F$3:$F$33, '근무표(입력)'!$C$3:$C$33, $Y$1, '근무표(입력)'!$A$3:$A$33, $A13) + SUMIFS('근무표(입력)'!$J$3:$J$33, '근무표(입력)'!$G$3:$G$33, $Y$1, '근무표(입력)'!$A$3:$A$33, $A13) + SUMIFS('근무표(입력)'!$N$3:$N$33, '근무표(입력)'!$K$3:$K$33, $Y$1, '근무표(입력)'!$A$3:$A$33, $A13) + SUMIFS('근무표(입력)'!$R$3:$R$33, '근무표(입력)'!$O$3:$O$33, $Y$1, '근무표(입력)'!$A$3:$A$33, $A13)</f>
        <v>0</v>
      </c>
    </row>
    <row r="14" spans="1:27" x14ac:dyDescent="0.3">
      <c r="A14" s="12">
        <f t="shared" si="0"/>
        <v>46065</v>
      </c>
      <c r="B14" s="7" t="str">
        <f t="shared" si="1"/>
        <v>목</v>
      </c>
      <c r="C14" s="10">
        <f>SUMIFS('근무표(입력)'!$F$3:$F$33, '근무표(입력)'!$C$3:$C$33, $A$1, '근무표(입력)'!$A$3:$A$33, $A14) + SUMIFS('근무표(입력)'!$J$3:$J$33, '근무표(입력)'!$G$3:$G$33, $A$1, '근무표(입력)'!$A$3:$A$33, $A14) + SUMIFS('근무표(입력)'!$N$3:$N$33, '근무표(입력)'!$K$3:$K$33, $A$1, '근무표(입력)'!$A$3:$A$33, $A14) + SUMIFS('근무표(입력)'!$R$3:$R$33, '근무표(입력)'!$O$3:$O$33, $A$1, '근무표(입력)'!$A$3:$A$33, $A14)</f>
        <v>0</v>
      </c>
      <c r="E14" s="9">
        <f t="shared" si="2"/>
        <v>46065</v>
      </c>
      <c r="F14" s="7" t="str">
        <f t="shared" si="3"/>
        <v>목</v>
      </c>
      <c r="G14" s="10">
        <f>SUMIFS('근무표(입력)'!$F$3:$F$33, '근무표(입력)'!$C$3:$C$33, $E$1, '근무표(입력)'!$A$3:$A$33, $A14) + SUMIFS('근무표(입력)'!$J$3:$J$33, '근무표(입력)'!$G$3:$G$33, $E$1, '근무표(입력)'!$A$3:$A$33, $A14) + SUMIFS('근무표(입력)'!$N$3:$N$33, '근무표(입력)'!$K$3:$K$33, $E$1, '근무표(입력)'!$A$3:$A$33, $A14) + SUMIFS('근무표(입력)'!$R$3:$R$33, '근무표(입력)'!$O$3:$O$33, $E$1, '근무표(입력)'!$A$3:$A$33, $A14)</f>
        <v>0</v>
      </c>
      <c r="I14" s="9">
        <f t="shared" si="4"/>
        <v>46065</v>
      </c>
      <c r="J14" s="7" t="str">
        <f t="shared" si="5"/>
        <v>목</v>
      </c>
      <c r="K14" s="10">
        <f>SUMIFS('근무표(입력)'!$F$3:$F$33, '근무표(입력)'!$C$3:$C$33, $I$1, '근무표(입력)'!$A$3:$A$33, $A14) + SUMIFS('근무표(입력)'!$J$3:$J$33, '근무표(입력)'!$G$3:$G$33, $I$1, '근무표(입력)'!$A$3:$A$33, $A14) + SUMIFS('근무표(입력)'!$N$3:$N$33, '근무표(입력)'!$K$3:$K$33, $I$1, '근무표(입력)'!$A$3:$A$33, $A14) + SUMIFS('근무표(입력)'!$R$3:$R$33, '근무표(입력)'!$O$3:$O$33, $I$1, '근무표(입력)'!$A$3:$A$33, $A14)</f>
        <v>0</v>
      </c>
      <c r="M14" s="9">
        <f t="shared" si="6"/>
        <v>46065</v>
      </c>
      <c r="N14" s="7" t="str">
        <f t="shared" si="7"/>
        <v>목</v>
      </c>
      <c r="O14" s="10">
        <f>SUMIFS('근무표(입력)'!$F$3:$F$33, '근무표(입력)'!$C$3:$C$33, $M$1, '근무표(입력)'!$A$3:$A$33, $A14) + SUMIFS('근무표(입력)'!$J$3:$J$33, '근무표(입력)'!$G$3:$G$33, $M$1, '근무표(입력)'!$A$3:$A$33, $A14) + SUMIFS('근무표(입력)'!$N$3:$N$33, '근무표(입력)'!$K$3:$K$33, $M$1, '근무표(입력)'!$A$3:$A$33, $A14) + SUMIFS('근무표(입력)'!$R$3:$R$33, '근무표(입력)'!$O$3:$O$33, $M$1, '근무표(입력)'!$A$3:$A$33, $A14)</f>
        <v>0</v>
      </c>
      <c r="Q14" s="9">
        <f t="shared" si="8"/>
        <v>46065</v>
      </c>
      <c r="R14" s="7" t="str">
        <f t="shared" si="9"/>
        <v>목</v>
      </c>
      <c r="S14" s="10">
        <f>SUMIFS('근무표(입력)'!$F$3:$F$33, '근무표(입력)'!$C$3:$C$33, $Q$1, '근무표(입력)'!$A$3:$A$33, $A14) + SUMIFS('근무표(입력)'!$J$3:$J$33, '근무표(입력)'!$G$3:$G$33, $Q$1, '근무표(입력)'!$A$3:$A$33, $A14) + SUMIFS('근무표(입력)'!$N$3:$N$33, '근무표(입력)'!$K$3:$K$33, $Q$1, '근무표(입력)'!$A$3:$A$33, $A14) + SUMIFS('근무표(입력)'!$R$3:$R$33, '근무표(입력)'!$O$3:$O$33, $Q$1, '근무표(입력)'!$A$3:$A$33, $A14)</f>
        <v>0</v>
      </c>
      <c r="U14" s="9">
        <f t="shared" si="10"/>
        <v>46065</v>
      </c>
      <c r="V14" s="7" t="str">
        <f t="shared" si="11"/>
        <v>목</v>
      </c>
      <c r="W14" s="10">
        <f>SUMIFS('근무표(입력)'!$F$3:$F$33, '근무표(입력)'!$C$3:$C$33, $U$1, '근무표(입력)'!$A$3:$A$33, $A14) + SUMIFS('근무표(입력)'!$J$3:$J$33, '근무표(입력)'!$G$3:$G$33, $U$1, '근무표(입력)'!$A$3:$A$33, $A14) + SUMIFS('근무표(입력)'!$N$3:$N$33, '근무표(입력)'!$K$3:$K$33, $U$1, '근무표(입력)'!$A$3:$A$33, $A14) + SUMIFS('근무표(입력)'!$R$3:$R$33, '근무표(입력)'!$O$3:$O$33, $U$1, '근무표(입력)'!$A$3:$A$33, $A14)</f>
        <v>0</v>
      </c>
      <c r="Y14" s="9">
        <f t="shared" si="12"/>
        <v>46065</v>
      </c>
      <c r="Z14" s="7" t="str">
        <f t="shared" si="13"/>
        <v>목</v>
      </c>
      <c r="AA14" s="10">
        <f>SUMIFS('근무표(입력)'!$F$3:$F$33, '근무표(입력)'!$C$3:$C$33, $Y$1, '근무표(입력)'!$A$3:$A$33, $A14) + SUMIFS('근무표(입력)'!$J$3:$J$33, '근무표(입력)'!$G$3:$G$33, $Y$1, '근무표(입력)'!$A$3:$A$33, $A14) + SUMIFS('근무표(입력)'!$N$3:$N$33, '근무표(입력)'!$K$3:$K$33, $Y$1, '근무표(입력)'!$A$3:$A$33, $A14) + SUMIFS('근무표(입력)'!$R$3:$R$33, '근무표(입력)'!$O$3:$O$33, $Y$1, '근무표(입력)'!$A$3:$A$33, $A14)</f>
        <v>0</v>
      </c>
    </row>
    <row r="15" spans="1:27" x14ac:dyDescent="0.3">
      <c r="A15" s="12">
        <f t="shared" si="0"/>
        <v>46066</v>
      </c>
      <c r="B15" s="7" t="str">
        <f t="shared" si="1"/>
        <v>금</v>
      </c>
      <c r="C15" s="10">
        <f>SUMIFS('근무표(입력)'!$F$3:$F$33, '근무표(입력)'!$C$3:$C$33, $A$1, '근무표(입력)'!$A$3:$A$33, $A15) + SUMIFS('근무표(입력)'!$J$3:$J$33, '근무표(입력)'!$G$3:$G$33, $A$1, '근무표(입력)'!$A$3:$A$33, $A15) + SUMIFS('근무표(입력)'!$N$3:$N$33, '근무표(입력)'!$K$3:$K$33, $A$1, '근무표(입력)'!$A$3:$A$33, $A15) + SUMIFS('근무표(입력)'!$R$3:$R$33, '근무표(입력)'!$O$3:$O$33, $A$1, '근무표(입력)'!$A$3:$A$33, $A15)</f>
        <v>0</v>
      </c>
      <c r="E15" s="9">
        <f t="shared" si="2"/>
        <v>46066</v>
      </c>
      <c r="F15" s="7" t="str">
        <f t="shared" si="3"/>
        <v>금</v>
      </c>
      <c r="G15" s="10">
        <f>SUMIFS('근무표(입력)'!$F$3:$F$33, '근무표(입력)'!$C$3:$C$33, $E$1, '근무표(입력)'!$A$3:$A$33, $A15) + SUMIFS('근무표(입력)'!$J$3:$J$33, '근무표(입력)'!$G$3:$G$33, $E$1, '근무표(입력)'!$A$3:$A$33, $A15) + SUMIFS('근무표(입력)'!$N$3:$N$33, '근무표(입력)'!$K$3:$K$33, $E$1, '근무표(입력)'!$A$3:$A$33, $A15) + SUMIFS('근무표(입력)'!$R$3:$R$33, '근무표(입력)'!$O$3:$O$33, $E$1, '근무표(입력)'!$A$3:$A$33, $A15)</f>
        <v>0</v>
      </c>
      <c r="I15" s="9">
        <f t="shared" si="4"/>
        <v>46066</v>
      </c>
      <c r="J15" s="7" t="str">
        <f t="shared" si="5"/>
        <v>금</v>
      </c>
      <c r="K15" s="10">
        <f>SUMIFS('근무표(입력)'!$F$3:$F$33, '근무표(입력)'!$C$3:$C$33, $I$1, '근무표(입력)'!$A$3:$A$33, $A15) + SUMIFS('근무표(입력)'!$J$3:$J$33, '근무표(입력)'!$G$3:$G$33, $I$1, '근무표(입력)'!$A$3:$A$33, $A15) + SUMIFS('근무표(입력)'!$N$3:$N$33, '근무표(입력)'!$K$3:$K$33, $I$1, '근무표(입력)'!$A$3:$A$33, $A15) + SUMIFS('근무표(입력)'!$R$3:$R$33, '근무표(입력)'!$O$3:$O$33, $I$1, '근무표(입력)'!$A$3:$A$33, $A15)</f>
        <v>0</v>
      </c>
      <c r="M15" s="9">
        <f t="shared" si="6"/>
        <v>46066</v>
      </c>
      <c r="N15" s="7" t="str">
        <f t="shared" si="7"/>
        <v>금</v>
      </c>
      <c r="O15" s="10">
        <f>SUMIFS('근무표(입력)'!$F$3:$F$33, '근무표(입력)'!$C$3:$C$33, $M$1, '근무표(입력)'!$A$3:$A$33, $A15) + SUMIFS('근무표(입력)'!$J$3:$J$33, '근무표(입력)'!$G$3:$G$33, $M$1, '근무표(입력)'!$A$3:$A$33, $A15) + SUMIFS('근무표(입력)'!$N$3:$N$33, '근무표(입력)'!$K$3:$K$33, $M$1, '근무표(입력)'!$A$3:$A$33, $A15) + SUMIFS('근무표(입력)'!$R$3:$R$33, '근무표(입력)'!$O$3:$O$33, $M$1, '근무표(입력)'!$A$3:$A$33, $A15)</f>
        <v>0</v>
      </c>
      <c r="Q15" s="9">
        <f t="shared" si="8"/>
        <v>46066</v>
      </c>
      <c r="R15" s="7" t="str">
        <f t="shared" si="9"/>
        <v>금</v>
      </c>
      <c r="S15" s="10">
        <f>SUMIFS('근무표(입력)'!$F$3:$F$33, '근무표(입력)'!$C$3:$C$33, $Q$1, '근무표(입력)'!$A$3:$A$33, $A15) + SUMIFS('근무표(입력)'!$J$3:$J$33, '근무표(입력)'!$G$3:$G$33, $Q$1, '근무표(입력)'!$A$3:$A$33, $A15) + SUMIFS('근무표(입력)'!$N$3:$N$33, '근무표(입력)'!$K$3:$K$33, $Q$1, '근무표(입력)'!$A$3:$A$33, $A15) + SUMIFS('근무표(입력)'!$R$3:$R$33, '근무표(입력)'!$O$3:$O$33, $Q$1, '근무표(입력)'!$A$3:$A$33, $A15)</f>
        <v>0</v>
      </c>
      <c r="U15" s="9">
        <f t="shared" si="10"/>
        <v>46066</v>
      </c>
      <c r="V15" s="7" t="str">
        <f t="shared" si="11"/>
        <v>금</v>
      </c>
      <c r="W15" s="10">
        <f>SUMIFS('근무표(입력)'!$F$3:$F$33, '근무표(입력)'!$C$3:$C$33, $U$1, '근무표(입력)'!$A$3:$A$33, $A15) + SUMIFS('근무표(입력)'!$J$3:$J$33, '근무표(입력)'!$G$3:$G$33, $U$1, '근무표(입력)'!$A$3:$A$33, $A15) + SUMIFS('근무표(입력)'!$N$3:$N$33, '근무표(입력)'!$K$3:$K$33, $U$1, '근무표(입력)'!$A$3:$A$33, $A15) + SUMIFS('근무표(입력)'!$R$3:$R$33, '근무표(입력)'!$O$3:$O$33, $U$1, '근무표(입력)'!$A$3:$A$33, $A15)</f>
        <v>0</v>
      </c>
      <c r="Y15" s="9">
        <f t="shared" si="12"/>
        <v>46066</v>
      </c>
      <c r="Z15" s="7" t="str">
        <f t="shared" si="13"/>
        <v>금</v>
      </c>
      <c r="AA15" s="10">
        <f>SUMIFS('근무표(입력)'!$F$3:$F$33, '근무표(입력)'!$C$3:$C$33, $Y$1, '근무표(입력)'!$A$3:$A$33, $A15) + SUMIFS('근무표(입력)'!$J$3:$J$33, '근무표(입력)'!$G$3:$G$33, $Y$1, '근무표(입력)'!$A$3:$A$33, $A15) + SUMIFS('근무표(입력)'!$N$3:$N$33, '근무표(입력)'!$K$3:$K$33, $Y$1, '근무표(입력)'!$A$3:$A$33, $A15) + SUMIFS('근무표(입력)'!$R$3:$R$33, '근무표(입력)'!$O$3:$O$33, $Y$1, '근무표(입력)'!$A$3:$A$33, $A15)</f>
        <v>0</v>
      </c>
    </row>
    <row r="16" spans="1:27" x14ac:dyDescent="0.3">
      <c r="A16" s="12">
        <f t="shared" si="0"/>
        <v>46067</v>
      </c>
      <c r="B16" s="7" t="str">
        <f t="shared" si="1"/>
        <v>토</v>
      </c>
      <c r="C16" s="10">
        <f>SUMIFS('근무표(입력)'!$F$3:$F$33, '근무표(입력)'!$C$3:$C$33, $A$1, '근무표(입력)'!$A$3:$A$33, $A16) + SUMIFS('근무표(입력)'!$J$3:$J$33, '근무표(입력)'!$G$3:$G$33, $A$1, '근무표(입력)'!$A$3:$A$33, $A16) + SUMIFS('근무표(입력)'!$N$3:$N$33, '근무표(입력)'!$K$3:$K$33, $A$1, '근무표(입력)'!$A$3:$A$33, $A16) + SUMIFS('근무표(입력)'!$R$3:$R$33, '근무표(입력)'!$O$3:$O$33, $A$1, '근무표(입력)'!$A$3:$A$33, $A16)</f>
        <v>0</v>
      </c>
      <c r="E16" s="9">
        <f t="shared" si="2"/>
        <v>46067</v>
      </c>
      <c r="F16" s="7" t="str">
        <f t="shared" si="3"/>
        <v>토</v>
      </c>
      <c r="G16" s="10">
        <f>SUMIFS('근무표(입력)'!$F$3:$F$33, '근무표(입력)'!$C$3:$C$33, $E$1, '근무표(입력)'!$A$3:$A$33, $A16) + SUMIFS('근무표(입력)'!$J$3:$J$33, '근무표(입력)'!$G$3:$G$33, $E$1, '근무표(입력)'!$A$3:$A$33, $A16) + SUMIFS('근무표(입력)'!$N$3:$N$33, '근무표(입력)'!$K$3:$K$33, $E$1, '근무표(입력)'!$A$3:$A$33, $A16) + SUMIFS('근무표(입력)'!$R$3:$R$33, '근무표(입력)'!$O$3:$O$33, $E$1, '근무표(입력)'!$A$3:$A$33, $A16)</f>
        <v>0</v>
      </c>
      <c r="I16" s="9">
        <f t="shared" si="4"/>
        <v>46067</v>
      </c>
      <c r="J16" s="7" t="str">
        <f t="shared" si="5"/>
        <v>토</v>
      </c>
      <c r="K16" s="10">
        <f>SUMIFS('근무표(입력)'!$F$3:$F$33, '근무표(입력)'!$C$3:$C$33, $I$1, '근무표(입력)'!$A$3:$A$33, $A16) + SUMIFS('근무표(입력)'!$J$3:$J$33, '근무표(입력)'!$G$3:$G$33, $I$1, '근무표(입력)'!$A$3:$A$33, $A16) + SUMIFS('근무표(입력)'!$N$3:$N$33, '근무표(입력)'!$K$3:$K$33, $I$1, '근무표(입력)'!$A$3:$A$33, $A16) + SUMIFS('근무표(입력)'!$R$3:$R$33, '근무표(입력)'!$O$3:$O$33, $I$1, '근무표(입력)'!$A$3:$A$33, $A16)</f>
        <v>0</v>
      </c>
      <c r="M16" s="9">
        <f t="shared" si="6"/>
        <v>46067</v>
      </c>
      <c r="N16" s="7" t="str">
        <f t="shared" si="7"/>
        <v>토</v>
      </c>
      <c r="O16" s="10">
        <f>SUMIFS('근무표(입력)'!$F$3:$F$33, '근무표(입력)'!$C$3:$C$33, $M$1, '근무표(입력)'!$A$3:$A$33, $A16) + SUMIFS('근무표(입력)'!$J$3:$J$33, '근무표(입력)'!$G$3:$G$33, $M$1, '근무표(입력)'!$A$3:$A$33, $A16) + SUMIFS('근무표(입력)'!$N$3:$N$33, '근무표(입력)'!$K$3:$K$33, $M$1, '근무표(입력)'!$A$3:$A$33, $A16) + SUMIFS('근무표(입력)'!$R$3:$R$33, '근무표(입력)'!$O$3:$O$33, $M$1, '근무표(입력)'!$A$3:$A$33, $A16)</f>
        <v>0</v>
      </c>
      <c r="Q16" s="9">
        <f t="shared" si="8"/>
        <v>46067</v>
      </c>
      <c r="R16" s="7" t="str">
        <f t="shared" si="9"/>
        <v>토</v>
      </c>
      <c r="S16" s="10">
        <f>SUMIFS('근무표(입력)'!$F$3:$F$33, '근무표(입력)'!$C$3:$C$33, $Q$1, '근무표(입력)'!$A$3:$A$33, $A16) + SUMIFS('근무표(입력)'!$J$3:$J$33, '근무표(입력)'!$G$3:$G$33, $Q$1, '근무표(입력)'!$A$3:$A$33, $A16) + SUMIFS('근무표(입력)'!$N$3:$N$33, '근무표(입력)'!$K$3:$K$33, $Q$1, '근무표(입력)'!$A$3:$A$33, $A16) + SUMIFS('근무표(입력)'!$R$3:$R$33, '근무표(입력)'!$O$3:$O$33, $Q$1, '근무표(입력)'!$A$3:$A$33, $A16)</f>
        <v>0</v>
      </c>
      <c r="U16" s="9">
        <f t="shared" si="10"/>
        <v>46067</v>
      </c>
      <c r="V16" s="7" t="str">
        <f t="shared" si="11"/>
        <v>토</v>
      </c>
      <c r="W16" s="10">
        <f>SUMIFS('근무표(입력)'!$F$3:$F$33, '근무표(입력)'!$C$3:$C$33, $U$1, '근무표(입력)'!$A$3:$A$33, $A16) + SUMIFS('근무표(입력)'!$J$3:$J$33, '근무표(입력)'!$G$3:$G$33, $U$1, '근무표(입력)'!$A$3:$A$33, $A16) + SUMIFS('근무표(입력)'!$N$3:$N$33, '근무표(입력)'!$K$3:$K$33, $U$1, '근무표(입력)'!$A$3:$A$33, $A16) + SUMIFS('근무표(입력)'!$R$3:$R$33, '근무표(입력)'!$O$3:$O$33, $U$1, '근무표(입력)'!$A$3:$A$33, $A16)</f>
        <v>0</v>
      </c>
      <c r="Y16" s="9">
        <f t="shared" si="12"/>
        <v>46067</v>
      </c>
      <c r="Z16" s="7" t="str">
        <f t="shared" si="13"/>
        <v>토</v>
      </c>
      <c r="AA16" s="10">
        <f>SUMIFS('근무표(입력)'!$F$3:$F$33, '근무표(입력)'!$C$3:$C$33, $Y$1, '근무표(입력)'!$A$3:$A$33, $A16) + SUMIFS('근무표(입력)'!$J$3:$J$33, '근무표(입력)'!$G$3:$G$33, $Y$1, '근무표(입력)'!$A$3:$A$33, $A16) + SUMIFS('근무표(입력)'!$N$3:$N$33, '근무표(입력)'!$K$3:$K$33, $Y$1, '근무표(입력)'!$A$3:$A$33, $A16) + SUMIFS('근무표(입력)'!$R$3:$R$33, '근무표(입력)'!$O$3:$O$33, $Y$1, '근무표(입력)'!$A$3:$A$33, $A16)</f>
        <v>0</v>
      </c>
    </row>
    <row r="17" spans="1:27" x14ac:dyDescent="0.3">
      <c r="A17" s="12">
        <f t="shared" si="0"/>
        <v>46068</v>
      </c>
      <c r="B17" s="7" t="str">
        <f t="shared" si="1"/>
        <v>일</v>
      </c>
      <c r="C17" s="10">
        <f>SUMIFS('근무표(입력)'!$F$3:$F$33, '근무표(입력)'!$C$3:$C$33, $A$1, '근무표(입력)'!$A$3:$A$33, $A17) + SUMIFS('근무표(입력)'!$J$3:$J$33, '근무표(입력)'!$G$3:$G$33, $A$1, '근무표(입력)'!$A$3:$A$33, $A17) + SUMIFS('근무표(입력)'!$N$3:$N$33, '근무표(입력)'!$K$3:$K$33, $A$1, '근무표(입력)'!$A$3:$A$33, $A17) + SUMIFS('근무표(입력)'!$R$3:$R$33, '근무표(입력)'!$O$3:$O$33, $A$1, '근무표(입력)'!$A$3:$A$33, $A17)</f>
        <v>0</v>
      </c>
      <c r="E17" s="9">
        <f t="shared" si="2"/>
        <v>46068</v>
      </c>
      <c r="F17" s="7" t="str">
        <f t="shared" si="3"/>
        <v>일</v>
      </c>
      <c r="G17" s="10">
        <f>SUMIFS('근무표(입력)'!$F$3:$F$33, '근무표(입력)'!$C$3:$C$33, $E$1, '근무표(입력)'!$A$3:$A$33, $A17) + SUMIFS('근무표(입력)'!$J$3:$J$33, '근무표(입력)'!$G$3:$G$33, $E$1, '근무표(입력)'!$A$3:$A$33, $A17) + SUMIFS('근무표(입력)'!$N$3:$N$33, '근무표(입력)'!$K$3:$K$33, $E$1, '근무표(입력)'!$A$3:$A$33, $A17) + SUMIFS('근무표(입력)'!$R$3:$R$33, '근무표(입력)'!$O$3:$O$33, $E$1, '근무표(입력)'!$A$3:$A$33, $A17)</f>
        <v>0</v>
      </c>
      <c r="I17" s="9">
        <f t="shared" si="4"/>
        <v>46068</v>
      </c>
      <c r="J17" s="7" t="str">
        <f t="shared" si="5"/>
        <v>일</v>
      </c>
      <c r="K17" s="10">
        <f>SUMIFS('근무표(입력)'!$F$3:$F$33, '근무표(입력)'!$C$3:$C$33, $I$1, '근무표(입력)'!$A$3:$A$33, $A17) + SUMIFS('근무표(입력)'!$J$3:$J$33, '근무표(입력)'!$G$3:$G$33, $I$1, '근무표(입력)'!$A$3:$A$33, $A17) + SUMIFS('근무표(입력)'!$N$3:$N$33, '근무표(입력)'!$K$3:$K$33, $I$1, '근무표(입력)'!$A$3:$A$33, $A17) + SUMIFS('근무표(입력)'!$R$3:$R$33, '근무표(입력)'!$O$3:$O$33, $I$1, '근무표(입력)'!$A$3:$A$33, $A17)</f>
        <v>0</v>
      </c>
      <c r="M17" s="9">
        <f t="shared" si="6"/>
        <v>46068</v>
      </c>
      <c r="N17" s="7" t="str">
        <f t="shared" si="7"/>
        <v>일</v>
      </c>
      <c r="O17" s="10">
        <f>SUMIFS('근무표(입력)'!$F$3:$F$33, '근무표(입력)'!$C$3:$C$33, $M$1, '근무표(입력)'!$A$3:$A$33, $A17) + SUMIFS('근무표(입력)'!$J$3:$J$33, '근무표(입력)'!$G$3:$G$33, $M$1, '근무표(입력)'!$A$3:$A$33, $A17) + SUMIFS('근무표(입력)'!$N$3:$N$33, '근무표(입력)'!$K$3:$K$33, $M$1, '근무표(입력)'!$A$3:$A$33, $A17) + SUMIFS('근무표(입력)'!$R$3:$R$33, '근무표(입력)'!$O$3:$O$33, $M$1, '근무표(입력)'!$A$3:$A$33, $A17)</f>
        <v>0</v>
      </c>
      <c r="Q17" s="9">
        <f t="shared" si="8"/>
        <v>46068</v>
      </c>
      <c r="R17" s="7" t="str">
        <f t="shared" si="9"/>
        <v>일</v>
      </c>
      <c r="S17" s="10">
        <f>SUMIFS('근무표(입력)'!$F$3:$F$33, '근무표(입력)'!$C$3:$C$33, $Q$1, '근무표(입력)'!$A$3:$A$33, $A17) + SUMIFS('근무표(입력)'!$J$3:$J$33, '근무표(입력)'!$G$3:$G$33, $Q$1, '근무표(입력)'!$A$3:$A$33, $A17) + SUMIFS('근무표(입력)'!$N$3:$N$33, '근무표(입력)'!$K$3:$K$33, $Q$1, '근무표(입력)'!$A$3:$A$33, $A17) + SUMIFS('근무표(입력)'!$R$3:$R$33, '근무표(입력)'!$O$3:$O$33, $Q$1, '근무표(입력)'!$A$3:$A$33, $A17)</f>
        <v>0</v>
      </c>
      <c r="U17" s="9">
        <f t="shared" si="10"/>
        <v>46068</v>
      </c>
      <c r="V17" s="7" t="str">
        <f t="shared" si="11"/>
        <v>일</v>
      </c>
      <c r="W17" s="10">
        <f>SUMIFS('근무표(입력)'!$F$3:$F$33, '근무표(입력)'!$C$3:$C$33, $U$1, '근무표(입력)'!$A$3:$A$33, $A17) + SUMIFS('근무표(입력)'!$J$3:$J$33, '근무표(입력)'!$G$3:$G$33, $U$1, '근무표(입력)'!$A$3:$A$33, $A17) + SUMIFS('근무표(입력)'!$N$3:$N$33, '근무표(입력)'!$K$3:$K$33, $U$1, '근무표(입력)'!$A$3:$A$33, $A17) + SUMIFS('근무표(입력)'!$R$3:$R$33, '근무표(입력)'!$O$3:$O$33, $U$1, '근무표(입력)'!$A$3:$A$33, $A17)</f>
        <v>0</v>
      </c>
      <c r="Y17" s="9">
        <f t="shared" si="12"/>
        <v>46068</v>
      </c>
      <c r="Z17" s="7" t="str">
        <f t="shared" si="13"/>
        <v>일</v>
      </c>
      <c r="AA17" s="10">
        <f>SUMIFS('근무표(입력)'!$F$3:$F$33, '근무표(입력)'!$C$3:$C$33, $Y$1, '근무표(입력)'!$A$3:$A$33, $A17) + SUMIFS('근무표(입력)'!$J$3:$J$33, '근무표(입력)'!$G$3:$G$33, $Y$1, '근무표(입력)'!$A$3:$A$33, $A17) + SUMIFS('근무표(입력)'!$N$3:$N$33, '근무표(입력)'!$K$3:$K$33, $Y$1, '근무표(입력)'!$A$3:$A$33, $A17) + SUMIFS('근무표(입력)'!$R$3:$R$33, '근무표(입력)'!$O$3:$O$33, $Y$1, '근무표(입력)'!$A$3:$A$33, $A17)</f>
        <v>0</v>
      </c>
    </row>
    <row r="18" spans="1:27" x14ac:dyDescent="0.3">
      <c r="A18" s="12">
        <f t="shared" si="0"/>
        <v>46069</v>
      </c>
      <c r="B18" s="7" t="str">
        <f t="shared" si="1"/>
        <v>월</v>
      </c>
      <c r="C18" s="10">
        <f>SUMIFS('근무표(입력)'!$F$3:$F$33, '근무표(입력)'!$C$3:$C$33, $A$1, '근무표(입력)'!$A$3:$A$33, $A18) + SUMIFS('근무표(입력)'!$J$3:$J$33, '근무표(입력)'!$G$3:$G$33, $A$1, '근무표(입력)'!$A$3:$A$33, $A18) + SUMIFS('근무표(입력)'!$N$3:$N$33, '근무표(입력)'!$K$3:$K$33, $A$1, '근무표(입력)'!$A$3:$A$33, $A18) + SUMIFS('근무표(입력)'!$R$3:$R$33, '근무표(입력)'!$O$3:$O$33, $A$1, '근무표(입력)'!$A$3:$A$33, $A18)</f>
        <v>0</v>
      </c>
      <c r="E18" s="9">
        <f t="shared" si="2"/>
        <v>46069</v>
      </c>
      <c r="F18" s="7" t="str">
        <f t="shared" si="3"/>
        <v>월</v>
      </c>
      <c r="G18" s="10">
        <f>SUMIFS('근무표(입력)'!$F$3:$F$33, '근무표(입력)'!$C$3:$C$33, $E$1, '근무표(입력)'!$A$3:$A$33, $A18) + SUMIFS('근무표(입력)'!$J$3:$J$33, '근무표(입력)'!$G$3:$G$33, $E$1, '근무표(입력)'!$A$3:$A$33, $A18) + SUMIFS('근무표(입력)'!$N$3:$N$33, '근무표(입력)'!$K$3:$K$33, $E$1, '근무표(입력)'!$A$3:$A$33, $A18) + SUMIFS('근무표(입력)'!$R$3:$R$33, '근무표(입력)'!$O$3:$O$33, $E$1, '근무표(입력)'!$A$3:$A$33, $A18)</f>
        <v>0</v>
      </c>
      <c r="I18" s="9">
        <f t="shared" si="4"/>
        <v>46069</v>
      </c>
      <c r="J18" s="7" t="str">
        <f t="shared" si="5"/>
        <v>월</v>
      </c>
      <c r="K18" s="10">
        <f>SUMIFS('근무표(입력)'!$F$3:$F$33, '근무표(입력)'!$C$3:$C$33, $I$1, '근무표(입력)'!$A$3:$A$33, $A18) + SUMIFS('근무표(입력)'!$J$3:$J$33, '근무표(입력)'!$G$3:$G$33, $I$1, '근무표(입력)'!$A$3:$A$33, $A18) + SUMIFS('근무표(입력)'!$N$3:$N$33, '근무표(입력)'!$K$3:$K$33, $I$1, '근무표(입력)'!$A$3:$A$33, $A18) + SUMIFS('근무표(입력)'!$R$3:$R$33, '근무표(입력)'!$O$3:$O$33, $I$1, '근무표(입력)'!$A$3:$A$33, $A18)</f>
        <v>0</v>
      </c>
      <c r="M18" s="9">
        <f t="shared" si="6"/>
        <v>46069</v>
      </c>
      <c r="N18" s="7" t="str">
        <f t="shared" si="7"/>
        <v>월</v>
      </c>
      <c r="O18" s="10">
        <f>SUMIFS('근무표(입력)'!$F$3:$F$33, '근무표(입력)'!$C$3:$C$33, $M$1, '근무표(입력)'!$A$3:$A$33, $A18) + SUMIFS('근무표(입력)'!$J$3:$J$33, '근무표(입력)'!$G$3:$G$33, $M$1, '근무표(입력)'!$A$3:$A$33, $A18) + SUMIFS('근무표(입력)'!$N$3:$N$33, '근무표(입력)'!$K$3:$K$33, $M$1, '근무표(입력)'!$A$3:$A$33, $A18) + SUMIFS('근무표(입력)'!$R$3:$R$33, '근무표(입력)'!$O$3:$O$33, $M$1, '근무표(입력)'!$A$3:$A$33, $A18)</f>
        <v>0</v>
      </c>
      <c r="Q18" s="9">
        <f t="shared" si="8"/>
        <v>46069</v>
      </c>
      <c r="R18" s="7" t="str">
        <f t="shared" si="9"/>
        <v>월</v>
      </c>
      <c r="S18" s="10">
        <f>SUMIFS('근무표(입력)'!$F$3:$F$33, '근무표(입력)'!$C$3:$C$33, $Q$1, '근무표(입력)'!$A$3:$A$33, $A18) + SUMIFS('근무표(입력)'!$J$3:$J$33, '근무표(입력)'!$G$3:$G$33, $Q$1, '근무표(입력)'!$A$3:$A$33, $A18) + SUMIFS('근무표(입력)'!$N$3:$N$33, '근무표(입력)'!$K$3:$K$33, $Q$1, '근무표(입력)'!$A$3:$A$33, $A18) + SUMIFS('근무표(입력)'!$R$3:$R$33, '근무표(입력)'!$O$3:$O$33, $Q$1, '근무표(입력)'!$A$3:$A$33, $A18)</f>
        <v>0</v>
      </c>
      <c r="U18" s="9">
        <f t="shared" si="10"/>
        <v>46069</v>
      </c>
      <c r="V18" s="7" t="str">
        <f t="shared" si="11"/>
        <v>월</v>
      </c>
      <c r="W18" s="10">
        <f>SUMIFS('근무표(입력)'!$F$3:$F$33, '근무표(입력)'!$C$3:$C$33, $U$1, '근무표(입력)'!$A$3:$A$33, $A18) + SUMIFS('근무표(입력)'!$J$3:$J$33, '근무표(입력)'!$G$3:$G$33, $U$1, '근무표(입력)'!$A$3:$A$33, $A18) + SUMIFS('근무표(입력)'!$N$3:$N$33, '근무표(입력)'!$K$3:$K$33, $U$1, '근무표(입력)'!$A$3:$A$33, $A18) + SUMIFS('근무표(입력)'!$R$3:$R$33, '근무표(입력)'!$O$3:$O$33, $U$1, '근무표(입력)'!$A$3:$A$33, $A18)</f>
        <v>0</v>
      </c>
      <c r="Y18" s="9">
        <f t="shared" si="12"/>
        <v>46069</v>
      </c>
      <c r="Z18" s="7" t="str">
        <f t="shared" si="13"/>
        <v>월</v>
      </c>
      <c r="AA18" s="10">
        <f>SUMIFS('근무표(입력)'!$F$3:$F$33, '근무표(입력)'!$C$3:$C$33, $Y$1, '근무표(입력)'!$A$3:$A$33, $A18) + SUMIFS('근무표(입력)'!$J$3:$J$33, '근무표(입력)'!$G$3:$G$33, $Y$1, '근무표(입력)'!$A$3:$A$33, $A18) + SUMIFS('근무표(입력)'!$N$3:$N$33, '근무표(입력)'!$K$3:$K$33, $Y$1, '근무표(입력)'!$A$3:$A$33, $A18) + SUMIFS('근무표(입력)'!$R$3:$R$33, '근무표(입력)'!$O$3:$O$33, $Y$1, '근무표(입력)'!$A$3:$A$33, $A18)</f>
        <v>0</v>
      </c>
    </row>
    <row r="19" spans="1:27" x14ac:dyDescent="0.3">
      <c r="A19" s="12">
        <f t="shared" si="0"/>
        <v>46070</v>
      </c>
      <c r="B19" s="7" t="str">
        <f t="shared" si="1"/>
        <v>화</v>
      </c>
      <c r="C19" s="10">
        <f>SUMIFS('근무표(입력)'!$F$3:$F$33, '근무표(입력)'!$C$3:$C$33, $A$1, '근무표(입력)'!$A$3:$A$33, $A19) + SUMIFS('근무표(입력)'!$J$3:$J$33, '근무표(입력)'!$G$3:$G$33, $A$1, '근무표(입력)'!$A$3:$A$33, $A19) + SUMIFS('근무표(입력)'!$N$3:$N$33, '근무표(입력)'!$K$3:$K$33, $A$1, '근무표(입력)'!$A$3:$A$33, $A19) + SUMIFS('근무표(입력)'!$R$3:$R$33, '근무표(입력)'!$O$3:$O$33, $A$1, '근무표(입력)'!$A$3:$A$33, $A19)</f>
        <v>0</v>
      </c>
      <c r="E19" s="9">
        <f t="shared" si="2"/>
        <v>46070</v>
      </c>
      <c r="F19" s="7" t="str">
        <f t="shared" si="3"/>
        <v>화</v>
      </c>
      <c r="G19" s="10">
        <f>SUMIFS('근무표(입력)'!$F$3:$F$33, '근무표(입력)'!$C$3:$C$33, $E$1, '근무표(입력)'!$A$3:$A$33, $A19) + SUMIFS('근무표(입력)'!$J$3:$J$33, '근무표(입력)'!$G$3:$G$33, $E$1, '근무표(입력)'!$A$3:$A$33, $A19) + SUMIFS('근무표(입력)'!$N$3:$N$33, '근무표(입력)'!$K$3:$K$33, $E$1, '근무표(입력)'!$A$3:$A$33, $A19) + SUMIFS('근무표(입력)'!$R$3:$R$33, '근무표(입력)'!$O$3:$O$33, $E$1, '근무표(입력)'!$A$3:$A$33, $A19)</f>
        <v>0</v>
      </c>
      <c r="I19" s="9">
        <f t="shared" si="4"/>
        <v>46070</v>
      </c>
      <c r="J19" s="7" t="str">
        <f t="shared" si="5"/>
        <v>화</v>
      </c>
      <c r="K19" s="10">
        <f>SUMIFS('근무표(입력)'!$F$3:$F$33, '근무표(입력)'!$C$3:$C$33, $I$1, '근무표(입력)'!$A$3:$A$33, $A19) + SUMIFS('근무표(입력)'!$J$3:$J$33, '근무표(입력)'!$G$3:$G$33, $I$1, '근무표(입력)'!$A$3:$A$33, $A19) + SUMIFS('근무표(입력)'!$N$3:$N$33, '근무표(입력)'!$K$3:$K$33, $I$1, '근무표(입력)'!$A$3:$A$33, $A19) + SUMIFS('근무표(입력)'!$R$3:$R$33, '근무표(입력)'!$O$3:$O$33, $I$1, '근무표(입력)'!$A$3:$A$33, $A19)</f>
        <v>0</v>
      </c>
      <c r="M19" s="9">
        <f t="shared" si="6"/>
        <v>46070</v>
      </c>
      <c r="N19" s="7" t="str">
        <f t="shared" si="7"/>
        <v>화</v>
      </c>
      <c r="O19" s="10">
        <f>SUMIFS('근무표(입력)'!$F$3:$F$33, '근무표(입력)'!$C$3:$C$33, $M$1, '근무표(입력)'!$A$3:$A$33, $A19) + SUMIFS('근무표(입력)'!$J$3:$J$33, '근무표(입력)'!$G$3:$G$33, $M$1, '근무표(입력)'!$A$3:$A$33, $A19) + SUMIFS('근무표(입력)'!$N$3:$N$33, '근무표(입력)'!$K$3:$K$33, $M$1, '근무표(입력)'!$A$3:$A$33, $A19) + SUMIFS('근무표(입력)'!$R$3:$R$33, '근무표(입력)'!$O$3:$O$33, $M$1, '근무표(입력)'!$A$3:$A$33, $A19)</f>
        <v>0</v>
      </c>
      <c r="Q19" s="9">
        <f t="shared" si="8"/>
        <v>46070</v>
      </c>
      <c r="R19" s="7" t="str">
        <f t="shared" si="9"/>
        <v>화</v>
      </c>
      <c r="S19" s="10">
        <f>SUMIFS('근무표(입력)'!$F$3:$F$33, '근무표(입력)'!$C$3:$C$33, $Q$1, '근무표(입력)'!$A$3:$A$33, $A19) + SUMIFS('근무표(입력)'!$J$3:$J$33, '근무표(입력)'!$G$3:$G$33, $Q$1, '근무표(입력)'!$A$3:$A$33, $A19) + SUMIFS('근무표(입력)'!$N$3:$N$33, '근무표(입력)'!$K$3:$K$33, $Q$1, '근무표(입력)'!$A$3:$A$33, $A19) + SUMIFS('근무표(입력)'!$R$3:$R$33, '근무표(입력)'!$O$3:$O$33, $Q$1, '근무표(입력)'!$A$3:$A$33, $A19)</f>
        <v>0</v>
      </c>
      <c r="U19" s="9">
        <f t="shared" si="10"/>
        <v>46070</v>
      </c>
      <c r="V19" s="7" t="str">
        <f t="shared" si="11"/>
        <v>화</v>
      </c>
      <c r="W19" s="10">
        <f>SUMIFS('근무표(입력)'!$F$3:$F$33, '근무표(입력)'!$C$3:$C$33, $U$1, '근무표(입력)'!$A$3:$A$33, $A19) + SUMIFS('근무표(입력)'!$J$3:$J$33, '근무표(입력)'!$G$3:$G$33, $U$1, '근무표(입력)'!$A$3:$A$33, $A19) + SUMIFS('근무표(입력)'!$N$3:$N$33, '근무표(입력)'!$K$3:$K$33, $U$1, '근무표(입력)'!$A$3:$A$33, $A19) + SUMIFS('근무표(입력)'!$R$3:$R$33, '근무표(입력)'!$O$3:$O$33, $U$1, '근무표(입력)'!$A$3:$A$33, $A19)</f>
        <v>0</v>
      </c>
      <c r="Y19" s="9">
        <f t="shared" si="12"/>
        <v>46070</v>
      </c>
      <c r="Z19" s="7" t="str">
        <f t="shared" si="13"/>
        <v>화</v>
      </c>
      <c r="AA19" s="10">
        <f>SUMIFS('근무표(입력)'!$F$3:$F$33, '근무표(입력)'!$C$3:$C$33, $Y$1, '근무표(입력)'!$A$3:$A$33, $A19) + SUMIFS('근무표(입력)'!$J$3:$J$33, '근무표(입력)'!$G$3:$G$33, $Y$1, '근무표(입력)'!$A$3:$A$33, $A19) + SUMIFS('근무표(입력)'!$N$3:$N$33, '근무표(입력)'!$K$3:$K$33, $Y$1, '근무표(입력)'!$A$3:$A$33, $A19) + SUMIFS('근무표(입력)'!$R$3:$R$33, '근무표(입력)'!$O$3:$O$33, $Y$1, '근무표(입력)'!$A$3:$A$33, $A19)</f>
        <v>0</v>
      </c>
    </row>
    <row r="20" spans="1:27" x14ac:dyDescent="0.3">
      <c r="A20" s="12">
        <f t="shared" si="0"/>
        <v>46071</v>
      </c>
      <c r="B20" s="7" t="str">
        <f t="shared" si="1"/>
        <v>수</v>
      </c>
      <c r="C20" s="10">
        <f>SUMIFS('근무표(입력)'!$F$3:$F$33, '근무표(입력)'!$C$3:$C$33, $A$1, '근무표(입력)'!$A$3:$A$33, $A20) + SUMIFS('근무표(입력)'!$J$3:$J$33, '근무표(입력)'!$G$3:$G$33, $A$1, '근무표(입력)'!$A$3:$A$33, $A20) + SUMIFS('근무표(입력)'!$N$3:$N$33, '근무표(입력)'!$K$3:$K$33, $A$1, '근무표(입력)'!$A$3:$A$33, $A20) + SUMIFS('근무표(입력)'!$R$3:$R$33, '근무표(입력)'!$O$3:$O$33, $A$1, '근무표(입력)'!$A$3:$A$33, $A20)</f>
        <v>0</v>
      </c>
      <c r="E20" s="9">
        <f t="shared" si="2"/>
        <v>46071</v>
      </c>
      <c r="F20" s="7" t="str">
        <f t="shared" si="3"/>
        <v>수</v>
      </c>
      <c r="G20" s="10">
        <f>SUMIFS('근무표(입력)'!$F$3:$F$33, '근무표(입력)'!$C$3:$C$33, $E$1, '근무표(입력)'!$A$3:$A$33, $A20) + SUMIFS('근무표(입력)'!$J$3:$J$33, '근무표(입력)'!$G$3:$G$33, $E$1, '근무표(입력)'!$A$3:$A$33, $A20) + SUMIFS('근무표(입력)'!$N$3:$N$33, '근무표(입력)'!$K$3:$K$33, $E$1, '근무표(입력)'!$A$3:$A$33, $A20) + SUMIFS('근무표(입력)'!$R$3:$R$33, '근무표(입력)'!$O$3:$O$33, $E$1, '근무표(입력)'!$A$3:$A$33, $A20)</f>
        <v>0</v>
      </c>
      <c r="I20" s="9">
        <f t="shared" si="4"/>
        <v>46071</v>
      </c>
      <c r="J20" s="7" t="str">
        <f t="shared" si="5"/>
        <v>수</v>
      </c>
      <c r="K20" s="10">
        <f>SUMIFS('근무표(입력)'!$F$3:$F$33, '근무표(입력)'!$C$3:$C$33, $I$1, '근무표(입력)'!$A$3:$A$33, $A20) + SUMIFS('근무표(입력)'!$J$3:$J$33, '근무표(입력)'!$G$3:$G$33, $I$1, '근무표(입력)'!$A$3:$A$33, $A20) + SUMIFS('근무표(입력)'!$N$3:$N$33, '근무표(입력)'!$K$3:$K$33, $I$1, '근무표(입력)'!$A$3:$A$33, $A20) + SUMIFS('근무표(입력)'!$R$3:$R$33, '근무표(입력)'!$O$3:$O$33, $I$1, '근무표(입력)'!$A$3:$A$33, $A20)</f>
        <v>0</v>
      </c>
      <c r="M20" s="9">
        <f t="shared" si="6"/>
        <v>46071</v>
      </c>
      <c r="N20" s="7" t="str">
        <f t="shared" si="7"/>
        <v>수</v>
      </c>
      <c r="O20" s="10">
        <f>SUMIFS('근무표(입력)'!$F$3:$F$33, '근무표(입력)'!$C$3:$C$33, $M$1, '근무표(입력)'!$A$3:$A$33, $A20) + SUMIFS('근무표(입력)'!$J$3:$J$33, '근무표(입력)'!$G$3:$G$33, $M$1, '근무표(입력)'!$A$3:$A$33, $A20) + SUMIFS('근무표(입력)'!$N$3:$N$33, '근무표(입력)'!$K$3:$K$33, $M$1, '근무표(입력)'!$A$3:$A$33, $A20) + SUMIFS('근무표(입력)'!$R$3:$R$33, '근무표(입력)'!$O$3:$O$33, $M$1, '근무표(입력)'!$A$3:$A$33, $A20)</f>
        <v>0</v>
      </c>
      <c r="Q20" s="9">
        <f t="shared" si="8"/>
        <v>46071</v>
      </c>
      <c r="R20" s="7" t="str">
        <f t="shared" si="9"/>
        <v>수</v>
      </c>
      <c r="S20" s="10">
        <f>SUMIFS('근무표(입력)'!$F$3:$F$33, '근무표(입력)'!$C$3:$C$33, $Q$1, '근무표(입력)'!$A$3:$A$33, $A20) + SUMIFS('근무표(입력)'!$J$3:$J$33, '근무표(입력)'!$G$3:$G$33, $Q$1, '근무표(입력)'!$A$3:$A$33, $A20) + SUMIFS('근무표(입력)'!$N$3:$N$33, '근무표(입력)'!$K$3:$K$33, $Q$1, '근무표(입력)'!$A$3:$A$33, $A20) + SUMIFS('근무표(입력)'!$R$3:$R$33, '근무표(입력)'!$O$3:$O$33, $Q$1, '근무표(입력)'!$A$3:$A$33, $A20)</f>
        <v>0</v>
      </c>
      <c r="U20" s="9">
        <f t="shared" si="10"/>
        <v>46071</v>
      </c>
      <c r="V20" s="7" t="str">
        <f t="shared" si="11"/>
        <v>수</v>
      </c>
      <c r="W20" s="10">
        <f>SUMIFS('근무표(입력)'!$F$3:$F$33, '근무표(입력)'!$C$3:$C$33, $U$1, '근무표(입력)'!$A$3:$A$33, $A20) + SUMIFS('근무표(입력)'!$J$3:$J$33, '근무표(입력)'!$G$3:$G$33, $U$1, '근무표(입력)'!$A$3:$A$33, $A20) + SUMIFS('근무표(입력)'!$N$3:$N$33, '근무표(입력)'!$K$3:$K$33, $U$1, '근무표(입력)'!$A$3:$A$33, $A20) + SUMIFS('근무표(입력)'!$R$3:$R$33, '근무표(입력)'!$O$3:$O$33, $U$1, '근무표(입력)'!$A$3:$A$33, $A20)</f>
        <v>0</v>
      </c>
      <c r="Y20" s="9">
        <f t="shared" si="12"/>
        <v>46071</v>
      </c>
      <c r="Z20" s="7" t="str">
        <f t="shared" si="13"/>
        <v>수</v>
      </c>
      <c r="AA20" s="10">
        <f>SUMIFS('근무표(입력)'!$F$3:$F$33, '근무표(입력)'!$C$3:$C$33, $Y$1, '근무표(입력)'!$A$3:$A$33, $A20) + SUMIFS('근무표(입력)'!$J$3:$J$33, '근무표(입력)'!$G$3:$G$33, $Y$1, '근무표(입력)'!$A$3:$A$33, $A20) + SUMIFS('근무표(입력)'!$N$3:$N$33, '근무표(입력)'!$K$3:$K$33, $Y$1, '근무표(입력)'!$A$3:$A$33, $A20) + SUMIFS('근무표(입력)'!$R$3:$R$33, '근무표(입력)'!$O$3:$O$33, $Y$1, '근무표(입력)'!$A$3:$A$33, $A20)</f>
        <v>0</v>
      </c>
    </row>
    <row r="21" spans="1:27" x14ac:dyDescent="0.3">
      <c r="A21" s="12">
        <f t="shared" si="0"/>
        <v>46072</v>
      </c>
      <c r="B21" s="7" t="str">
        <f t="shared" si="1"/>
        <v>목</v>
      </c>
      <c r="C21" s="10">
        <f>SUMIFS('근무표(입력)'!$F$3:$F$33, '근무표(입력)'!$C$3:$C$33, $A$1, '근무표(입력)'!$A$3:$A$33, $A21) + SUMIFS('근무표(입력)'!$J$3:$J$33, '근무표(입력)'!$G$3:$G$33, $A$1, '근무표(입력)'!$A$3:$A$33, $A21) + SUMIFS('근무표(입력)'!$N$3:$N$33, '근무표(입력)'!$K$3:$K$33, $A$1, '근무표(입력)'!$A$3:$A$33, $A21) + SUMIFS('근무표(입력)'!$R$3:$R$33, '근무표(입력)'!$O$3:$O$33, $A$1, '근무표(입력)'!$A$3:$A$33, $A21)</f>
        <v>0</v>
      </c>
      <c r="E21" s="9">
        <f t="shared" si="2"/>
        <v>46072</v>
      </c>
      <c r="F21" s="7" t="str">
        <f t="shared" si="3"/>
        <v>목</v>
      </c>
      <c r="G21" s="10">
        <f>SUMIFS('근무표(입력)'!$F$3:$F$33, '근무표(입력)'!$C$3:$C$33, $E$1, '근무표(입력)'!$A$3:$A$33, $A21) + SUMIFS('근무표(입력)'!$J$3:$J$33, '근무표(입력)'!$G$3:$G$33, $E$1, '근무표(입력)'!$A$3:$A$33, $A21) + SUMIFS('근무표(입력)'!$N$3:$N$33, '근무표(입력)'!$K$3:$K$33, $E$1, '근무표(입력)'!$A$3:$A$33, $A21) + SUMIFS('근무표(입력)'!$R$3:$R$33, '근무표(입력)'!$O$3:$O$33, $E$1, '근무표(입력)'!$A$3:$A$33, $A21)</f>
        <v>0</v>
      </c>
      <c r="I21" s="9">
        <f t="shared" si="4"/>
        <v>46072</v>
      </c>
      <c r="J21" s="7" t="str">
        <f t="shared" si="5"/>
        <v>목</v>
      </c>
      <c r="K21" s="10">
        <f>SUMIFS('근무표(입력)'!$F$3:$F$33, '근무표(입력)'!$C$3:$C$33, $I$1, '근무표(입력)'!$A$3:$A$33, $A21) + SUMIFS('근무표(입력)'!$J$3:$J$33, '근무표(입력)'!$G$3:$G$33, $I$1, '근무표(입력)'!$A$3:$A$33, $A21) + SUMIFS('근무표(입력)'!$N$3:$N$33, '근무표(입력)'!$K$3:$K$33, $I$1, '근무표(입력)'!$A$3:$A$33, $A21) + SUMIFS('근무표(입력)'!$R$3:$R$33, '근무표(입력)'!$O$3:$O$33, $I$1, '근무표(입력)'!$A$3:$A$33, $A21)</f>
        <v>0</v>
      </c>
      <c r="M21" s="9">
        <f t="shared" si="6"/>
        <v>46072</v>
      </c>
      <c r="N21" s="7" t="str">
        <f t="shared" si="7"/>
        <v>목</v>
      </c>
      <c r="O21" s="10">
        <f>SUMIFS('근무표(입력)'!$F$3:$F$33, '근무표(입력)'!$C$3:$C$33, $M$1, '근무표(입력)'!$A$3:$A$33, $A21) + SUMIFS('근무표(입력)'!$J$3:$J$33, '근무표(입력)'!$G$3:$G$33, $M$1, '근무표(입력)'!$A$3:$A$33, $A21) + SUMIFS('근무표(입력)'!$N$3:$N$33, '근무표(입력)'!$K$3:$K$33, $M$1, '근무표(입력)'!$A$3:$A$33, $A21) + SUMIFS('근무표(입력)'!$R$3:$R$33, '근무표(입력)'!$O$3:$O$33, $M$1, '근무표(입력)'!$A$3:$A$33, $A21)</f>
        <v>0</v>
      </c>
      <c r="Q21" s="9">
        <f t="shared" si="8"/>
        <v>46072</v>
      </c>
      <c r="R21" s="7" t="str">
        <f t="shared" si="9"/>
        <v>목</v>
      </c>
      <c r="S21" s="10">
        <f>SUMIFS('근무표(입력)'!$F$3:$F$33, '근무표(입력)'!$C$3:$C$33, $Q$1, '근무표(입력)'!$A$3:$A$33, $A21) + SUMIFS('근무표(입력)'!$J$3:$J$33, '근무표(입력)'!$G$3:$G$33, $Q$1, '근무표(입력)'!$A$3:$A$33, $A21) + SUMIFS('근무표(입력)'!$N$3:$N$33, '근무표(입력)'!$K$3:$K$33, $Q$1, '근무표(입력)'!$A$3:$A$33, $A21) + SUMIFS('근무표(입력)'!$R$3:$R$33, '근무표(입력)'!$O$3:$O$33, $Q$1, '근무표(입력)'!$A$3:$A$33, $A21)</f>
        <v>0</v>
      </c>
      <c r="U21" s="9">
        <f t="shared" si="10"/>
        <v>46072</v>
      </c>
      <c r="V21" s="7" t="str">
        <f t="shared" si="11"/>
        <v>목</v>
      </c>
      <c r="W21" s="10">
        <f>SUMIFS('근무표(입력)'!$F$3:$F$33, '근무표(입력)'!$C$3:$C$33, $U$1, '근무표(입력)'!$A$3:$A$33, $A21) + SUMIFS('근무표(입력)'!$J$3:$J$33, '근무표(입력)'!$G$3:$G$33, $U$1, '근무표(입력)'!$A$3:$A$33, $A21) + SUMIFS('근무표(입력)'!$N$3:$N$33, '근무표(입력)'!$K$3:$K$33, $U$1, '근무표(입력)'!$A$3:$A$33, $A21) + SUMIFS('근무표(입력)'!$R$3:$R$33, '근무표(입력)'!$O$3:$O$33, $U$1, '근무표(입력)'!$A$3:$A$33, $A21)</f>
        <v>0</v>
      </c>
      <c r="Y21" s="9">
        <f t="shared" si="12"/>
        <v>46072</v>
      </c>
      <c r="Z21" s="7" t="str">
        <f t="shared" si="13"/>
        <v>목</v>
      </c>
      <c r="AA21" s="10">
        <f>SUMIFS('근무표(입력)'!$F$3:$F$33, '근무표(입력)'!$C$3:$C$33, $Y$1, '근무표(입력)'!$A$3:$A$33, $A21) + SUMIFS('근무표(입력)'!$J$3:$J$33, '근무표(입력)'!$G$3:$G$33, $Y$1, '근무표(입력)'!$A$3:$A$33, $A21) + SUMIFS('근무표(입력)'!$N$3:$N$33, '근무표(입력)'!$K$3:$K$33, $Y$1, '근무표(입력)'!$A$3:$A$33, $A21) + SUMIFS('근무표(입력)'!$R$3:$R$33, '근무표(입력)'!$O$3:$O$33, $Y$1, '근무표(입력)'!$A$3:$A$33, $A21)</f>
        <v>0</v>
      </c>
    </row>
    <row r="22" spans="1:27" x14ac:dyDescent="0.3">
      <c r="A22" s="12">
        <f t="shared" si="0"/>
        <v>46073</v>
      </c>
      <c r="B22" s="7" t="str">
        <f t="shared" si="1"/>
        <v>금</v>
      </c>
      <c r="C22" s="10">
        <f>SUMIFS('근무표(입력)'!$F$3:$F$33, '근무표(입력)'!$C$3:$C$33, $A$1, '근무표(입력)'!$A$3:$A$33, $A22) + SUMIFS('근무표(입력)'!$J$3:$J$33, '근무표(입력)'!$G$3:$G$33, $A$1, '근무표(입력)'!$A$3:$A$33, $A22) + SUMIFS('근무표(입력)'!$N$3:$N$33, '근무표(입력)'!$K$3:$K$33, $A$1, '근무표(입력)'!$A$3:$A$33, $A22) + SUMIFS('근무표(입력)'!$R$3:$R$33, '근무표(입력)'!$O$3:$O$33, $A$1, '근무표(입력)'!$A$3:$A$33, $A22)</f>
        <v>0</v>
      </c>
      <c r="E22" s="9">
        <f t="shared" si="2"/>
        <v>46073</v>
      </c>
      <c r="F22" s="7" t="str">
        <f t="shared" si="3"/>
        <v>금</v>
      </c>
      <c r="G22" s="10">
        <f>SUMIFS('근무표(입력)'!$F$3:$F$33, '근무표(입력)'!$C$3:$C$33, $E$1, '근무표(입력)'!$A$3:$A$33, $A22) + SUMIFS('근무표(입력)'!$J$3:$J$33, '근무표(입력)'!$G$3:$G$33, $E$1, '근무표(입력)'!$A$3:$A$33, $A22) + SUMIFS('근무표(입력)'!$N$3:$N$33, '근무표(입력)'!$K$3:$K$33, $E$1, '근무표(입력)'!$A$3:$A$33, $A22) + SUMIFS('근무표(입력)'!$R$3:$R$33, '근무표(입력)'!$O$3:$O$33, $E$1, '근무표(입력)'!$A$3:$A$33, $A22)</f>
        <v>0</v>
      </c>
      <c r="I22" s="9">
        <f t="shared" si="4"/>
        <v>46073</v>
      </c>
      <c r="J22" s="7" t="str">
        <f t="shared" si="5"/>
        <v>금</v>
      </c>
      <c r="K22" s="10">
        <f>SUMIFS('근무표(입력)'!$F$3:$F$33, '근무표(입력)'!$C$3:$C$33, $I$1, '근무표(입력)'!$A$3:$A$33, $A22) + SUMIFS('근무표(입력)'!$J$3:$J$33, '근무표(입력)'!$G$3:$G$33, $I$1, '근무표(입력)'!$A$3:$A$33, $A22) + SUMIFS('근무표(입력)'!$N$3:$N$33, '근무표(입력)'!$K$3:$K$33, $I$1, '근무표(입력)'!$A$3:$A$33, $A22) + SUMIFS('근무표(입력)'!$R$3:$R$33, '근무표(입력)'!$O$3:$O$33, $I$1, '근무표(입력)'!$A$3:$A$33, $A22)</f>
        <v>0</v>
      </c>
      <c r="M22" s="9">
        <f t="shared" si="6"/>
        <v>46073</v>
      </c>
      <c r="N22" s="7" t="str">
        <f t="shared" si="7"/>
        <v>금</v>
      </c>
      <c r="O22" s="10">
        <f>SUMIFS('근무표(입력)'!$F$3:$F$33, '근무표(입력)'!$C$3:$C$33, $M$1, '근무표(입력)'!$A$3:$A$33, $A22) + SUMIFS('근무표(입력)'!$J$3:$J$33, '근무표(입력)'!$G$3:$G$33, $M$1, '근무표(입력)'!$A$3:$A$33, $A22) + SUMIFS('근무표(입력)'!$N$3:$N$33, '근무표(입력)'!$K$3:$K$33, $M$1, '근무표(입력)'!$A$3:$A$33, $A22) + SUMIFS('근무표(입력)'!$R$3:$R$33, '근무표(입력)'!$O$3:$O$33, $M$1, '근무표(입력)'!$A$3:$A$33, $A22)</f>
        <v>0</v>
      </c>
      <c r="Q22" s="9">
        <f t="shared" si="8"/>
        <v>46073</v>
      </c>
      <c r="R22" s="7" t="str">
        <f t="shared" si="9"/>
        <v>금</v>
      </c>
      <c r="S22" s="10">
        <f>SUMIFS('근무표(입력)'!$F$3:$F$33, '근무표(입력)'!$C$3:$C$33, $Q$1, '근무표(입력)'!$A$3:$A$33, $A22) + SUMIFS('근무표(입력)'!$J$3:$J$33, '근무표(입력)'!$G$3:$G$33, $Q$1, '근무표(입력)'!$A$3:$A$33, $A22) + SUMIFS('근무표(입력)'!$N$3:$N$33, '근무표(입력)'!$K$3:$K$33, $Q$1, '근무표(입력)'!$A$3:$A$33, $A22) + SUMIFS('근무표(입력)'!$R$3:$R$33, '근무표(입력)'!$O$3:$O$33, $Q$1, '근무표(입력)'!$A$3:$A$33, $A22)</f>
        <v>0</v>
      </c>
      <c r="U22" s="9">
        <f t="shared" si="10"/>
        <v>46073</v>
      </c>
      <c r="V22" s="7" t="str">
        <f t="shared" si="11"/>
        <v>금</v>
      </c>
      <c r="W22" s="10">
        <f>SUMIFS('근무표(입력)'!$F$3:$F$33, '근무표(입력)'!$C$3:$C$33, $U$1, '근무표(입력)'!$A$3:$A$33, $A22) + SUMIFS('근무표(입력)'!$J$3:$J$33, '근무표(입력)'!$G$3:$G$33, $U$1, '근무표(입력)'!$A$3:$A$33, $A22) + SUMIFS('근무표(입력)'!$N$3:$N$33, '근무표(입력)'!$K$3:$K$33, $U$1, '근무표(입력)'!$A$3:$A$33, $A22) + SUMIFS('근무표(입력)'!$R$3:$R$33, '근무표(입력)'!$O$3:$O$33, $U$1, '근무표(입력)'!$A$3:$A$33, $A22)</f>
        <v>0</v>
      </c>
      <c r="Y22" s="9">
        <f t="shared" si="12"/>
        <v>46073</v>
      </c>
      <c r="Z22" s="7" t="str">
        <f t="shared" si="13"/>
        <v>금</v>
      </c>
      <c r="AA22" s="10">
        <f>SUMIFS('근무표(입력)'!$F$3:$F$33, '근무표(입력)'!$C$3:$C$33, $Y$1, '근무표(입력)'!$A$3:$A$33, $A22) + SUMIFS('근무표(입력)'!$J$3:$J$33, '근무표(입력)'!$G$3:$G$33, $Y$1, '근무표(입력)'!$A$3:$A$33, $A22) + SUMIFS('근무표(입력)'!$N$3:$N$33, '근무표(입력)'!$K$3:$K$33, $Y$1, '근무표(입력)'!$A$3:$A$33, $A22) + SUMIFS('근무표(입력)'!$R$3:$R$33, '근무표(입력)'!$O$3:$O$33, $Y$1, '근무표(입력)'!$A$3:$A$33, $A22)</f>
        <v>0</v>
      </c>
    </row>
    <row r="23" spans="1:27" x14ac:dyDescent="0.3">
      <c r="A23" s="12">
        <f t="shared" si="0"/>
        <v>46074</v>
      </c>
      <c r="B23" s="7" t="str">
        <f t="shared" si="1"/>
        <v>토</v>
      </c>
      <c r="C23" s="10">
        <f>SUMIFS('근무표(입력)'!$F$3:$F$33, '근무표(입력)'!$C$3:$C$33, $A$1, '근무표(입력)'!$A$3:$A$33, $A23) + SUMIFS('근무표(입력)'!$J$3:$J$33, '근무표(입력)'!$G$3:$G$33, $A$1, '근무표(입력)'!$A$3:$A$33, $A23) + SUMIFS('근무표(입력)'!$N$3:$N$33, '근무표(입력)'!$K$3:$K$33, $A$1, '근무표(입력)'!$A$3:$A$33, $A23) + SUMIFS('근무표(입력)'!$R$3:$R$33, '근무표(입력)'!$O$3:$O$33, $A$1, '근무표(입력)'!$A$3:$A$33, $A23)</f>
        <v>0</v>
      </c>
      <c r="E23" s="9">
        <f t="shared" si="2"/>
        <v>46074</v>
      </c>
      <c r="F23" s="7" t="str">
        <f t="shared" si="3"/>
        <v>토</v>
      </c>
      <c r="G23" s="10">
        <f>SUMIFS('근무표(입력)'!$F$3:$F$33, '근무표(입력)'!$C$3:$C$33, $E$1, '근무표(입력)'!$A$3:$A$33, $A23) + SUMIFS('근무표(입력)'!$J$3:$J$33, '근무표(입력)'!$G$3:$G$33, $E$1, '근무표(입력)'!$A$3:$A$33, $A23) + SUMIFS('근무표(입력)'!$N$3:$N$33, '근무표(입력)'!$K$3:$K$33, $E$1, '근무표(입력)'!$A$3:$A$33, $A23) + SUMIFS('근무표(입력)'!$R$3:$R$33, '근무표(입력)'!$O$3:$O$33, $E$1, '근무표(입력)'!$A$3:$A$33, $A23)</f>
        <v>0</v>
      </c>
      <c r="I23" s="9">
        <f t="shared" si="4"/>
        <v>46074</v>
      </c>
      <c r="J23" s="7" t="str">
        <f t="shared" si="5"/>
        <v>토</v>
      </c>
      <c r="K23" s="10">
        <f>SUMIFS('근무표(입력)'!$F$3:$F$33, '근무표(입력)'!$C$3:$C$33, $I$1, '근무표(입력)'!$A$3:$A$33, $A23) + SUMIFS('근무표(입력)'!$J$3:$J$33, '근무표(입력)'!$G$3:$G$33, $I$1, '근무표(입력)'!$A$3:$A$33, $A23) + SUMIFS('근무표(입력)'!$N$3:$N$33, '근무표(입력)'!$K$3:$K$33, $I$1, '근무표(입력)'!$A$3:$A$33, $A23) + SUMIFS('근무표(입력)'!$R$3:$R$33, '근무표(입력)'!$O$3:$O$33, $I$1, '근무표(입력)'!$A$3:$A$33, $A23)</f>
        <v>0</v>
      </c>
      <c r="M23" s="9">
        <f t="shared" si="6"/>
        <v>46074</v>
      </c>
      <c r="N23" s="7" t="str">
        <f t="shared" si="7"/>
        <v>토</v>
      </c>
      <c r="O23" s="10">
        <f>SUMIFS('근무표(입력)'!$F$3:$F$33, '근무표(입력)'!$C$3:$C$33, $M$1, '근무표(입력)'!$A$3:$A$33, $A23) + SUMIFS('근무표(입력)'!$J$3:$J$33, '근무표(입력)'!$G$3:$G$33, $M$1, '근무표(입력)'!$A$3:$A$33, $A23) + SUMIFS('근무표(입력)'!$N$3:$N$33, '근무표(입력)'!$K$3:$K$33, $M$1, '근무표(입력)'!$A$3:$A$33, $A23) + SUMIFS('근무표(입력)'!$R$3:$R$33, '근무표(입력)'!$O$3:$O$33, $M$1, '근무표(입력)'!$A$3:$A$33, $A23)</f>
        <v>0</v>
      </c>
      <c r="Q23" s="9">
        <f t="shared" si="8"/>
        <v>46074</v>
      </c>
      <c r="R23" s="7" t="str">
        <f t="shared" si="9"/>
        <v>토</v>
      </c>
      <c r="S23" s="10">
        <f>SUMIFS('근무표(입력)'!$F$3:$F$33, '근무표(입력)'!$C$3:$C$33, $Q$1, '근무표(입력)'!$A$3:$A$33, $A23) + SUMIFS('근무표(입력)'!$J$3:$J$33, '근무표(입력)'!$G$3:$G$33, $Q$1, '근무표(입력)'!$A$3:$A$33, $A23) + SUMIFS('근무표(입력)'!$N$3:$N$33, '근무표(입력)'!$K$3:$K$33, $Q$1, '근무표(입력)'!$A$3:$A$33, $A23) + SUMIFS('근무표(입력)'!$R$3:$R$33, '근무표(입력)'!$O$3:$O$33, $Q$1, '근무표(입력)'!$A$3:$A$33, $A23)</f>
        <v>0</v>
      </c>
      <c r="U23" s="9">
        <f t="shared" si="10"/>
        <v>46074</v>
      </c>
      <c r="V23" s="7" t="str">
        <f t="shared" si="11"/>
        <v>토</v>
      </c>
      <c r="W23" s="10">
        <f>SUMIFS('근무표(입력)'!$F$3:$F$33, '근무표(입력)'!$C$3:$C$33, $U$1, '근무표(입력)'!$A$3:$A$33, $A23) + SUMIFS('근무표(입력)'!$J$3:$J$33, '근무표(입력)'!$G$3:$G$33, $U$1, '근무표(입력)'!$A$3:$A$33, $A23) + SUMIFS('근무표(입력)'!$N$3:$N$33, '근무표(입력)'!$K$3:$K$33, $U$1, '근무표(입력)'!$A$3:$A$33, $A23) + SUMIFS('근무표(입력)'!$R$3:$R$33, '근무표(입력)'!$O$3:$O$33, $U$1, '근무표(입력)'!$A$3:$A$33, $A23)</f>
        <v>0</v>
      </c>
      <c r="Y23" s="9">
        <f t="shared" si="12"/>
        <v>46074</v>
      </c>
      <c r="Z23" s="7" t="str">
        <f t="shared" si="13"/>
        <v>토</v>
      </c>
      <c r="AA23" s="10">
        <f>SUMIFS('근무표(입력)'!$F$3:$F$33, '근무표(입력)'!$C$3:$C$33, $Y$1, '근무표(입력)'!$A$3:$A$33, $A23) + SUMIFS('근무표(입력)'!$J$3:$J$33, '근무표(입력)'!$G$3:$G$33, $Y$1, '근무표(입력)'!$A$3:$A$33, $A23) + SUMIFS('근무표(입력)'!$N$3:$N$33, '근무표(입력)'!$K$3:$K$33, $Y$1, '근무표(입력)'!$A$3:$A$33, $A23) + SUMIFS('근무표(입력)'!$R$3:$R$33, '근무표(입력)'!$O$3:$O$33, $Y$1, '근무표(입력)'!$A$3:$A$33, $A23)</f>
        <v>0</v>
      </c>
    </row>
    <row r="24" spans="1:27" x14ac:dyDescent="0.3">
      <c r="A24" s="12">
        <f t="shared" si="0"/>
        <v>46075</v>
      </c>
      <c r="B24" s="7" t="str">
        <f t="shared" si="1"/>
        <v>일</v>
      </c>
      <c r="C24" s="10">
        <f>SUMIFS('근무표(입력)'!$F$3:$F$33, '근무표(입력)'!$C$3:$C$33, $A$1, '근무표(입력)'!$A$3:$A$33, $A24) + SUMIFS('근무표(입력)'!$J$3:$J$33, '근무표(입력)'!$G$3:$G$33, $A$1, '근무표(입력)'!$A$3:$A$33, $A24) + SUMIFS('근무표(입력)'!$N$3:$N$33, '근무표(입력)'!$K$3:$K$33, $A$1, '근무표(입력)'!$A$3:$A$33, $A24) + SUMIFS('근무표(입력)'!$R$3:$R$33, '근무표(입력)'!$O$3:$O$33, $A$1, '근무표(입력)'!$A$3:$A$33, $A24)</f>
        <v>0</v>
      </c>
      <c r="E24" s="9">
        <f t="shared" si="2"/>
        <v>46075</v>
      </c>
      <c r="F24" s="7" t="str">
        <f t="shared" si="3"/>
        <v>일</v>
      </c>
      <c r="G24" s="10">
        <f>SUMIFS('근무표(입력)'!$F$3:$F$33, '근무표(입력)'!$C$3:$C$33, $E$1, '근무표(입력)'!$A$3:$A$33, $A24) + SUMIFS('근무표(입력)'!$J$3:$J$33, '근무표(입력)'!$G$3:$G$33, $E$1, '근무표(입력)'!$A$3:$A$33, $A24) + SUMIFS('근무표(입력)'!$N$3:$N$33, '근무표(입력)'!$K$3:$K$33, $E$1, '근무표(입력)'!$A$3:$A$33, $A24) + SUMIFS('근무표(입력)'!$R$3:$R$33, '근무표(입력)'!$O$3:$O$33, $E$1, '근무표(입력)'!$A$3:$A$33, $A24)</f>
        <v>0</v>
      </c>
      <c r="I24" s="9">
        <f t="shared" si="4"/>
        <v>46075</v>
      </c>
      <c r="J24" s="7" t="str">
        <f t="shared" si="5"/>
        <v>일</v>
      </c>
      <c r="K24" s="10">
        <f>SUMIFS('근무표(입력)'!$F$3:$F$33, '근무표(입력)'!$C$3:$C$33, $I$1, '근무표(입력)'!$A$3:$A$33, $A24) + SUMIFS('근무표(입력)'!$J$3:$J$33, '근무표(입력)'!$G$3:$G$33, $I$1, '근무표(입력)'!$A$3:$A$33, $A24) + SUMIFS('근무표(입력)'!$N$3:$N$33, '근무표(입력)'!$K$3:$K$33, $I$1, '근무표(입력)'!$A$3:$A$33, $A24) + SUMIFS('근무표(입력)'!$R$3:$R$33, '근무표(입력)'!$O$3:$O$33, $I$1, '근무표(입력)'!$A$3:$A$33, $A24)</f>
        <v>0</v>
      </c>
      <c r="M24" s="9">
        <f t="shared" si="6"/>
        <v>46075</v>
      </c>
      <c r="N24" s="7" t="str">
        <f t="shared" si="7"/>
        <v>일</v>
      </c>
      <c r="O24" s="10">
        <f>SUMIFS('근무표(입력)'!$F$3:$F$33, '근무표(입력)'!$C$3:$C$33, $M$1, '근무표(입력)'!$A$3:$A$33, $A24) + SUMIFS('근무표(입력)'!$J$3:$J$33, '근무표(입력)'!$G$3:$G$33, $M$1, '근무표(입력)'!$A$3:$A$33, $A24) + SUMIFS('근무표(입력)'!$N$3:$N$33, '근무표(입력)'!$K$3:$K$33, $M$1, '근무표(입력)'!$A$3:$A$33, $A24) + SUMIFS('근무표(입력)'!$R$3:$R$33, '근무표(입력)'!$O$3:$O$33, $M$1, '근무표(입력)'!$A$3:$A$33, $A24)</f>
        <v>0</v>
      </c>
      <c r="Q24" s="9">
        <f t="shared" si="8"/>
        <v>46075</v>
      </c>
      <c r="R24" s="7" t="str">
        <f t="shared" si="9"/>
        <v>일</v>
      </c>
      <c r="S24" s="10">
        <f>SUMIFS('근무표(입력)'!$F$3:$F$33, '근무표(입력)'!$C$3:$C$33, $Q$1, '근무표(입력)'!$A$3:$A$33, $A24) + SUMIFS('근무표(입력)'!$J$3:$J$33, '근무표(입력)'!$G$3:$G$33, $Q$1, '근무표(입력)'!$A$3:$A$33, $A24) + SUMIFS('근무표(입력)'!$N$3:$N$33, '근무표(입력)'!$K$3:$K$33, $Q$1, '근무표(입력)'!$A$3:$A$33, $A24) + SUMIFS('근무표(입력)'!$R$3:$R$33, '근무표(입력)'!$O$3:$O$33, $Q$1, '근무표(입력)'!$A$3:$A$33, $A24)</f>
        <v>0</v>
      </c>
      <c r="U24" s="9">
        <f t="shared" si="10"/>
        <v>46075</v>
      </c>
      <c r="V24" s="7" t="str">
        <f t="shared" si="11"/>
        <v>일</v>
      </c>
      <c r="W24" s="10">
        <f>SUMIFS('근무표(입력)'!$F$3:$F$33, '근무표(입력)'!$C$3:$C$33, $U$1, '근무표(입력)'!$A$3:$A$33, $A24) + SUMIFS('근무표(입력)'!$J$3:$J$33, '근무표(입력)'!$G$3:$G$33, $U$1, '근무표(입력)'!$A$3:$A$33, $A24) + SUMIFS('근무표(입력)'!$N$3:$N$33, '근무표(입력)'!$K$3:$K$33, $U$1, '근무표(입력)'!$A$3:$A$33, $A24) + SUMIFS('근무표(입력)'!$R$3:$R$33, '근무표(입력)'!$O$3:$O$33, $U$1, '근무표(입력)'!$A$3:$A$33, $A24)</f>
        <v>0</v>
      </c>
      <c r="Y24" s="9">
        <f t="shared" si="12"/>
        <v>46075</v>
      </c>
      <c r="Z24" s="7" t="str">
        <f t="shared" si="13"/>
        <v>일</v>
      </c>
      <c r="AA24" s="10">
        <f>SUMIFS('근무표(입력)'!$F$3:$F$33, '근무표(입력)'!$C$3:$C$33, $Y$1, '근무표(입력)'!$A$3:$A$33, $A24) + SUMIFS('근무표(입력)'!$J$3:$J$33, '근무표(입력)'!$G$3:$G$33, $Y$1, '근무표(입력)'!$A$3:$A$33, $A24) + SUMIFS('근무표(입력)'!$N$3:$N$33, '근무표(입력)'!$K$3:$K$33, $Y$1, '근무표(입력)'!$A$3:$A$33, $A24) + SUMIFS('근무표(입력)'!$R$3:$R$33, '근무표(입력)'!$O$3:$O$33, $Y$1, '근무표(입력)'!$A$3:$A$33, $A24)</f>
        <v>0</v>
      </c>
    </row>
    <row r="25" spans="1:27" x14ac:dyDescent="0.3">
      <c r="A25" s="12">
        <f t="shared" si="0"/>
        <v>46076</v>
      </c>
      <c r="B25" s="7" t="str">
        <f t="shared" si="1"/>
        <v>월</v>
      </c>
      <c r="C25" s="10">
        <f>SUMIFS('근무표(입력)'!$F$3:$F$33, '근무표(입력)'!$C$3:$C$33, $A$1, '근무표(입력)'!$A$3:$A$33, $A25) + SUMIFS('근무표(입력)'!$J$3:$J$33, '근무표(입력)'!$G$3:$G$33, $A$1, '근무표(입력)'!$A$3:$A$33, $A25) + SUMIFS('근무표(입력)'!$N$3:$N$33, '근무표(입력)'!$K$3:$K$33, $A$1, '근무표(입력)'!$A$3:$A$33, $A25) + SUMIFS('근무표(입력)'!$R$3:$R$33, '근무표(입력)'!$O$3:$O$33, $A$1, '근무표(입력)'!$A$3:$A$33, $A25)</f>
        <v>0</v>
      </c>
      <c r="E25" s="9">
        <f t="shared" si="2"/>
        <v>46076</v>
      </c>
      <c r="F25" s="7" t="str">
        <f t="shared" si="3"/>
        <v>월</v>
      </c>
      <c r="G25" s="10">
        <f>SUMIFS('근무표(입력)'!$F$3:$F$33, '근무표(입력)'!$C$3:$C$33, $E$1, '근무표(입력)'!$A$3:$A$33, $A25) + SUMIFS('근무표(입력)'!$J$3:$J$33, '근무표(입력)'!$G$3:$G$33, $E$1, '근무표(입력)'!$A$3:$A$33, $A25) + SUMIFS('근무표(입력)'!$N$3:$N$33, '근무표(입력)'!$K$3:$K$33, $E$1, '근무표(입력)'!$A$3:$A$33, $A25) + SUMIFS('근무표(입력)'!$R$3:$R$33, '근무표(입력)'!$O$3:$O$33, $E$1, '근무표(입력)'!$A$3:$A$33, $A25)</f>
        <v>0</v>
      </c>
      <c r="I25" s="9">
        <f t="shared" si="4"/>
        <v>46076</v>
      </c>
      <c r="J25" s="7" t="str">
        <f t="shared" si="5"/>
        <v>월</v>
      </c>
      <c r="K25" s="10">
        <f>SUMIFS('근무표(입력)'!$F$3:$F$33, '근무표(입력)'!$C$3:$C$33, $I$1, '근무표(입력)'!$A$3:$A$33, $A25) + SUMIFS('근무표(입력)'!$J$3:$J$33, '근무표(입력)'!$G$3:$G$33, $I$1, '근무표(입력)'!$A$3:$A$33, $A25) + SUMIFS('근무표(입력)'!$N$3:$N$33, '근무표(입력)'!$K$3:$K$33, $I$1, '근무표(입력)'!$A$3:$A$33, $A25) + SUMIFS('근무표(입력)'!$R$3:$R$33, '근무표(입력)'!$O$3:$O$33, $I$1, '근무표(입력)'!$A$3:$A$33, $A25)</f>
        <v>0</v>
      </c>
      <c r="M25" s="9">
        <f t="shared" si="6"/>
        <v>46076</v>
      </c>
      <c r="N25" s="7" t="str">
        <f t="shared" si="7"/>
        <v>월</v>
      </c>
      <c r="O25" s="10">
        <f>SUMIFS('근무표(입력)'!$F$3:$F$33, '근무표(입력)'!$C$3:$C$33, $M$1, '근무표(입력)'!$A$3:$A$33, $A25) + SUMIFS('근무표(입력)'!$J$3:$J$33, '근무표(입력)'!$G$3:$G$33, $M$1, '근무표(입력)'!$A$3:$A$33, $A25) + SUMIFS('근무표(입력)'!$N$3:$N$33, '근무표(입력)'!$K$3:$K$33, $M$1, '근무표(입력)'!$A$3:$A$33, $A25) + SUMIFS('근무표(입력)'!$R$3:$R$33, '근무표(입력)'!$O$3:$O$33, $M$1, '근무표(입력)'!$A$3:$A$33, $A25)</f>
        <v>0</v>
      </c>
      <c r="Q25" s="9">
        <f t="shared" si="8"/>
        <v>46076</v>
      </c>
      <c r="R25" s="7" t="str">
        <f t="shared" si="9"/>
        <v>월</v>
      </c>
      <c r="S25" s="10">
        <f>SUMIFS('근무표(입력)'!$F$3:$F$33, '근무표(입력)'!$C$3:$C$33, $Q$1, '근무표(입력)'!$A$3:$A$33, $A25) + SUMIFS('근무표(입력)'!$J$3:$J$33, '근무표(입력)'!$G$3:$G$33, $Q$1, '근무표(입력)'!$A$3:$A$33, $A25) + SUMIFS('근무표(입력)'!$N$3:$N$33, '근무표(입력)'!$K$3:$K$33, $Q$1, '근무표(입력)'!$A$3:$A$33, $A25) + SUMIFS('근무표(입력)'!$R$3:$R$33, '근무표(입력)'!$O$3:$O$33, $Q$1, '근무표(입력)'!$A$3:$A$33, $A25)</f>
        <v>0</v>
      </c>
      <c r="U25" s="9">
        <f t="shared" si="10"/>
        <v>46076</v>
      </c>
      <c r="V25" s="7" t="str">
        <f t="shared" si="11"/>
        <v>월</v>
      </c>
      <c r="W25" s="10">
        <f>SUMIFS('근무표(입력)'!$F$3:$F$33, '근무표(입력)'!$C$3:$C$33, $U$1, '근무표(입력)'!$A$3:$A$33, $A25) + SUMIFS('근무표(입력)'!$J$3:$J$33, '근무표(입력)'!$G$3:$G$33, $U$1, '근무표(입력)'!$A$3:$A$33, $A25) + SUMIFS('근무표(입력)'!$N$3:$N$33, '근무표(입력)'!$K$3:$K$33, $U$1, '근무표(입력)'!$A$3:$A$33, $A25) + SUMIFS('근무표(입력)'!$R$3:$R$33, '근무표(입력)'!$O$3:$O$33, $U$1, '근무표(입력)'!$A$3:$A$33, $A25)</f>
        <v>0</v>
      </c>
      <c r="Y25" s="9">
        <f t="shared" si="12"/>
        <v>46076</v>
      </c>
      <c r="Z25" s="7" t="str">
        <f t="shared" si="13"/>
        <v>월</v>
      </c>
      <c r="AA25" s="10">
        <f>SUMIFS('근무표(입력)'!$F$3:$F$33, '근무표(입력)'!$C$3:$C$33, $Y$1, '근무표(입력)'!$A$3:$A$33, $A25) + SUMIFS('근무표(입력)'!$J$3:$J$33, '근무표(입력)'!$G$3:$G$33, $Y$1, '근무표(입력)'!$A$3:$A$33, $A25) + SUMIFS('근무표(입력)'!$N$3:$N$33, '근무표(입력)'!$K$3:$K$33, $Y$1, '근무표(입력)'!$A$3:$A$33, $A25) + SUMIFS('근무표(입력)'!$R$3:$R$33, '근무표(입력)'!$O$3:$O$33, $Y$1, '근무표(입력)'!$A$3:$A$33, $A25)</f>
        <v>0</v>
      </c>
    </row>
    <row r="26" spans="1:27" x14ac:dyDescent="0.3">
      <c r="A26" s="12">
        <f t="shared" si="0"/>
        <v>46077</v>
      </c>
      <c r="B26" s="7" t="str">
        <f t="shared" si="1"/>
        <v>화</v>
      </c>
      <c r="C26" s="10">
        <f>SUMIFS('근무표(입력)'!$F$3:$F$33, '근무표(입력)'!$C$3:$C$33, $A$1, '근무표(입력)'!$A$3:$A$33, $A26) + SUMIFS('근무표(입력)'!$J$3:$J$33, '근무표(입력)'!$G$3:$G$33, $A$1, '근무표(입력)'!$A$3:$A$33, $A26) + SUMIFS('근무표(입력)'!$N$3:$N$33, '근무표(입력)'!$K$3:$K$33, $A$1, '근무표(입력)'!$A$3:$A$33, $A26) + SUMIFS('근무표(입력)'!$R$3:$R$33, '근무표(입력)'!$O$3:$O$33, $A$1, '근무표(입력)'!$A$3:$A$33, $A26)</f>
        <v>0</v>
      </c>
      <c r="E26" s="9">
        <f t="shared" si="2"/>
        <v>46077</v>
      </c>
      <c r="F26" s="7" t="str">
        <f t="shared" si="3"/>
        <v>화</v>
      </c>
      <c r="G26" s="10">
        <f>SUMIFS('근무표(입력)'!$F$3:$F$33, '근무표(입력)'!$C$3:$C$33, $E$1, '근무표(입력)'!$A$3:$A$33, $A26) + SUMIFS('근무표(입력)'!$J$3:$J$33, '근무표(입력)'!$G$3:$G$33, $E$1, '근무표(입력)'!$A$3:$A$33, $A26) + SUMIFS('근무표(입력)'!$N$3:$N$33, '근무표(입력)'!$K$3:$K$33, $E$1, '근무표(입력)'!$A$3:$A$33, $A26) + SUMIFS('근무표(입력)'!$R$3:$R$33, '근무표(입력)'!$O$3:$O$33, $E$1, '근무표(입력)'!$A$3:$A$33, $A26)</f>
        <v>0</v>
      </c>
      <c r="I26" s="9">
        <f t="shared" si="4"/>
        <v>46077</v>
      </c>
      <c r="J26" s="7" t="str">
        <f t="shared" si="5"/>
        <v>화</v>
      </c>
      <c r="K26" s="10">
        <f>SUMIFS('근무표(입력)'!$F$3:$F$33, '근무표(입력)'!$C$3:$C$33, $I$1, '근무표(입력)'!$A$3:$A$33, $A26) + SUMIFS('근무표(입력)'!$J$3:$J$33, '근무표(입력)'!$G$3:$G$33, $I$1, '근무표(입력)'!$A$3:$A$33, $A26) + SUMIFS('근무표(입력)'!$N$3:$N$33, '근무표(입력)'!$K$3:$K$33, $I$1, '근무표(입력)'!$A$3:$A$33, $A26) + SUMIFS('근무표(입력)'!$R$3:$R$33, '근무표(입력)'!$O$3:$O$33, $I$1, '근무표(입력)'!$A$3:$A$33, $A26)</f>
        <v>0</v>
      </c>
      <c r="M26" s="9">
        <f t="shared" si="6"/>
        <v>46077</v>
      </c>
      <c r="N26" s="7" t="str">
        <f t="shared" si="7"/>
        <v>화</v>
      </c>
      <c r="O26" s="10">
        <f>SUMIFS('근무표(입력)'!$F$3:$F$33, '근무표(입력)'!$C$3:$C$33, $M$1, '근무표(입력)'!$A$3:$A$33, $A26) + SUMIFS('근무표(입력)'!$J$3:$J$33, '근무표(입력)'!$G$3:$G$33, $M$1, '근무표(입력)'!$A$3:$A$33, $A26) + SUMIFS('근무표(입력)'!$N$3:$N$33, '근무표(입력)'!$K$3:$K$33, $M$1, '근무표(입력)'!$A$3:$A$33, $A26) + SUMIFS('근무표(입력)'!$R$3:$R$33, '근무표(입력)'!$O$3:$O$33, $M$1, '근무표(입력)'!$A$3:$A$33, $A26)</f>
        <v>0</v>
      </c>
      <c r="Q26" s="9">
        <f t="shared" si="8"/>
        <v>46077</v>
      </c>
      <c r="R26" s="7" t="str">
        <f t="shared" si="9"/>
        <v>화</v>
      </c>
      <c r="S26" s="10">
        <f>SUMIFS('근무표(입력)'!$F$3:$F$33, '근무표(입력)'!$C$3:$C$33, $Q$1, '근무표(입력)'!$A$3:$A$33, $A26) + SUMIFS('근무표(입력)'!$J$3:$J$33, '근무표(입력)'!$G$3:$G$33, $Q$1, '근무표(입력)'!$A$3:$A$33, $A26) + SUMIFS('근무표(입력)'!$N$3:$N$33, '근무표(입력)'!$K$3:$K$33, $Q$1, '근무표(입력)'!$A$3:$A$33, $A26) + SUMIFS('근무표(입력)'!$R$3:$R$33, '근무표(입력)'!$O$3:$O$33, $Q$1, '근무표(입력)'!$A$3:$A$33, $A26)</f>
        <v>0</v>
      </c>
      <c r="U26" s="9">
        <f t="shared" si="10"/>
        <v>46077</v>
      </c>
      <c r="V26" s="7" t="str">
        <f t="shared" si="11"/>
        <v>화</v>
      </c>
      <c r="W26" s="10">
        <f>SUMIFS('근무표(입력)'!$F$3:$F$33, '근무표(입력)'!$C$3:$C$33, $U$1, '근무표(입력)'!$A$3:$A$33, $A26) + SUMIFS('근무표(입력)'!$J$3:$J$33, '근무표(입력)'!$G$3:$G$33, $U$1, '근무표(입력)'!$A$3:$A$33, $A26) + SUMIFS('근무표(입력)'!$N$3:$N$33, '근무표(입력)'!$K$3:$K$33, $U$1, '근무표(입력)'!$A$3:$A$33, $A26) + SUMIFS('근무표(입력)'!$R$3:$R$33, '근무표(입력)'!$O$3:$O$33, $U$1, '근무표(입력)'!$A$3:$A$33, $A26)</f>
        <v>0</v>
      </c>
      <c r="Y26" s="9">
        <f t="shared" si="12"/>
        <v>46077</v>
      </c>
      <c r="Z26" s="7" t="str">
        <f t="shared" si="13"/>
        <v>화</v>
      </c>
      <c r="AA26" s="10">
        <f>SUMIFS('근무표(입력)'!$F$3:$F$33, '근무표(입력)'!$C$3:$C$33, $Y$1, '근무표(입력)'!$A$3:$A$33, $A26) + SUMIFS('근무표(입력)'!$J$3:$J$33, '근무표(입력)'!$G$3:$G$33, $Y$1, '근무표(입력)'!$A$3:$A$33, $A26) + SUMIFS('근무표(입력)'!$N$3:$N$33, '근무표(입력)'!$K$3:$K$33, $Y$1, '근무표(입력)'!$A$3:$A$33, $A26) + SUMIFS('근무표(입력)'!$R$3:$R$33, '근무표(입력)'!$O$3:$O$33, $Y$1, '근무표(입력)'!$A$3:$A$33, $A26)</f>
        <v>0</v>
      </c>
    </row>
    <row r="27" spans="1:27" x14ac:dyDescent="0.3">
      <c r="A27" s="12">
        <f t="shared" si="0"/>
        <v>46078</v>
      </c>
      <c r="B27" s="7" t="str">
        <f t="shared" si="1"/>
        <v>수</v>
      </c>
      <c r="C27" s="10">
        <f>SUMIFS('근무표(입력)'!$F$3:$F$33, '근무표(입력)'!$C$3:$C$33, $A$1, '근무표(입력)'!$A$3:$A$33, $A27) + SUMIFS('근무표(입력)'!$J$3:$J$33, '근무표(입력)'!$G$3:$G$33, $A$1, '근무표(입력)'!$A$3:$A$33, $A27) + SUMIFS('근무표(입력)'!$N$3:$N$33, '근무표(입력)'!$K$3:$K$33, $A$1, '근무표(입력)'!$A$3:$A$33, $A27) + SUMIFS('근무표(입력)'!$R$3:$R$33, '근무표(입력)'!$O$3:$O$33, $A$1, '근무표(입력)'!$A$3:$A$33, $A27)</f>
        <v>0</v>
      </c>
      <c r="E27" s="9">
        <f t="shared" si="2"/>
        <v>46078</v>
      </c>
      <c r="F27" s="7" t="str">
        <f t="shared" si="3"/>
        <v>수</v>
      </c>
      <c r="G27" s="10">
        <f>SUMIFS('근무표(입력)'!$F$3:$F$33, '근무표(입력)'!$C$3:$C$33, $E$1, '근무표(입력)'!$A$3:$A$33, $A27) + SUMIFS('근무표(입력)'!$J$3:$J$33, '근무표(입력)'!$G$3:$G$33, $E$1, '근무표(입력)'!$A$3:$A$33, $A27) + SUMIFS('근무표(입력)'!$N$3:$N$33, '근무표(입력)'!$K$3:$K$33, $E$1, '근무표(입력)'!$A$3:$A$33, $A27) + SUMIFS('근무표(입력)'!$R$3:$R$33, '근무표(입력)'!$O$3:$O$33, $E$1, '근무표(입력)'!$A$3:$A$33, $A27)</f>
        <v>0</v>
      </c>
      <c r="I27" s="9">
        <f t="shared" si="4"/>
        <v>46078</v>
      </c>
      <c r="J27" s="7" t="str">
        <f t="shared" si="5"/>
        <v>수</v>
      </c>
      <c r="K27" s="10">
        <f>SUMIFS('근무표(입력)'!$F$3:$F$33, '근무표(입력)'!$C$3:$C$33, $I$1, '근무표(입력)'!$A$3:$A$33, $A27) + SUMIFS('근무표(입력)'!$J$3:$J$33, '근무표(입력)'!$G$3:$G$33, $I$1, '근무표(입력)'!$A$3:$A$33, $A27) + SUMIFS('근무표(입력)'!$N$3:$N$33, '근무표(입력)'!$K$3:$K$33, $I$1, '근무표(입력)'!$A$3:$A$33, $A27) + SUMIFS('근무표(입력)'!$R$3:$R$33, '근무표(입력)'!$O$3:$O$33, $I$1, '근무표(입력)'!$A$3:$A$33, $A27)</f>
        <v>0</v>
      </c>
      <c r="M27" s="9">
        <f t="shared" si="6"/>
        <v>46078</v>
      </c>
      <c r="N27" s="7" t="str">
        <f t="shared" si="7"/>
        <v>수</v>
      </c>
      <c r="O27" s="10">
        <f>SUMIFS('근무표(입력)'!$F$3:$F$33, '근무표(입력)'!$C$3:$C$33, $M$1, '근무표(입력)'!$A$3:$A$33, $A27) + SUMIFS('근무표(입력)'!$J$3:$J$33, '근무표(입력)'!$G$3:$G$33, $M$1, '근무표(입력)'!$A$3:$A$33, $A27) + SUMIFS('근무표(입력)'!$N$3:$N$33, '근무표(입력)'!$K$3:$K$33, $M$1, '근무표(입력)'!$A$3:$A$33, $A27) + SUMIFS('근무표(입력)'!$R$3:$R$33, '근무표(입력)'!$O$3:$O$33, $M$1, '근무표(입력)'!$A$3:$A$33, $A27)</f>
        <v>0</v>
      </c>
      <c r="Q27" s="9">
        <f t="shared" si="8"/>
        <v>46078</v>
      </c>
      <c r="R27" s="7" t="str">
        <f t="shared" si="9"/>
        <v>수</v>
      </c>
      <c r="S27" s="10">
        <f>SUMIFS('근무표(입력)'!$F$3:$F$33, '근무표(입력)'!$C$3:$C$33, $Q$1, '근무표(입력)'!$A$3:$A$33, $A27) + SUMIFS('근무표(입력)'!$J$3:$J$33, '근무표(입력)'!$G$3:$G$33, $Q$1, '근무표(입력)'!$A$3:$A$33, $A27) + SUMIFS('근무표(입력)'!$N$3:$N$33, '근무표(입력)'!$K$3:$K$33, $Q$1, '근무표(입력)'!$A$3:$A$33, $A27) + SUMIFS('근무표(입력)'!$R$3:$R$33, '근무표(입력)'!$O$3:$O$33, $Q$1, '근무표(입력)'!$A$3:$A$33, $A27)</f>
        <v>0</v>
      </c>
      <c r="U27" s="9">
        <f t="shared" si="10"/>
        <v>46078</v>
      </c>
      <c r="V27" s="7" t="str">
        <f t="shared" si="11"/>
        <v>수</v>
      </c>
      <c r="W27" s="10">
        <f>SUMIFS('근무표(입력)'!$F$3:$F$33, '근무표(입력)'!$C$3:$C$33, $U$1, '근무표(입력)'!$A$3:$A$33, $A27) + SUMIFS('근무표(입력)'!$J$3:$J$33, '근무표(입력)'!$G$3:$G$33, $U$1, '근무표(입력)'!$A$3:$A$33, $A27) + SUMIFS('근무표(입력)'!$N$3:$N$33, '근무표(입력)'!$K$3:$K$33, $U$1, '근무표(입력)'!$A$3:$A$33, $A27) + SUMIFS('근무표(입력)'!$R$3:$R$33, '근무표(입력)'!$O$3:$O$33, $U$1, '근무표(입력)'!$A$3:$A$33, $A27)</f>
        <v>0</v>
      </c>
      <c r="Y27" s="9">
        <f t="shared" si="12"/>
        <v>46078</v>
      </c>
      <c r="Z27" s="7" t="str">
        <f t="shared" si="13"/>
        <v>수</v>
      </c>
      <c r="AA27" s="10">
        <f>SUMIFS('근무표(입력)'!$F$3:$F$33, '근무표(입력)'!$C$3:$C$33, $Y$1, '근무표(입력)'!$A$3:$A$33, $A27) + SUMIFS('근무표(입력)'!$J$3:$J$33, '근무표(입력)'!$G$3:$G$33, $Y$1, '근무표(입력)'!$A$3:$A$33, $A27) + SUMIFS('근무표(입력)'!$N$3:$N$33, '근무표(입력)'!$K$3:$K$33, $Y$1, '근무표(입력)'!$A$3:$A$33, $A27) + SUMIFS('근무표(입력)'!$R$3:$R$33, '근무표(입력)'!$O$3:$O$33, $Y$1, '근무표(입력)'!$A$3:$A$33, $A27)</f>
        <v>0</v>
      </c>
    </row>
    <row r="28" spans="1:27" x14ac:dyDescent="0.3">
      <c r="A28" s="12">
        <f t="shared" si="0"/>
        <v>46079</v>
      </c>
      <c r="B28" s="7" t="str">
        <f t="shared" si="1"/>
        <v>목</v>
      </c>
      <c r="C28" s="10">
        <f>SUMIFS('근무표(입력)'!$F$3:$F$33, '근무표(입력)'!$C$3:$C$33, $A$1, '근무표(입력)'!$A$3:$A$33, $A28) + SUMIFS('근무표(입력)'!$J$3:$J$33, '근무표(입력)'!$G$3:$G$33, $A$1, '근무표(입력)'!$A$3:$A$33, $A28) + SUMIFS('근무표(입력)'!$N$3:$N$33, '근무표(입력)'!$K$3:$K$33, $A$1, '근무표(입력)'!$A$3:$A$33, $A28) + SUMIFS('근무표(입력)'!$R$3:$R$33, '근무표(입력)'!$O$3:$O$33, $A$1, '근무표(입력)'!$A$3:$A$33, $A28)</f>
        <v>0</v>
      </c>
      <c r="E28" s="9">
        <f t="shared" si="2"/>
        <v>46079</v>
      </c>
      <c r="F28" s="7" t="str">
        <f t="shared" si="3"/>
        <v>목</v>
      </c>
      <c r="G28" s="10">
        <f>SUMIFS('근무표(입력)'!$F$3:$F$33, '근무표(입력)'!$C$3:$C$33, $E$1, '근무표(입력)'!$A$3:$A$33, $A28) + SUMIFS('근무표(입력)'!$J$3:$J$33, '근무표(입력)'!$G$3:$G$33, $E$1, '근무표(입력)'!$A$3:$A$33, $A28) + SUMIFS('근무표(입력)'!$N$3:$N$33, '근무표(입력)'!$K$3:$K$33, $E$1, '근무표(입력)'!$A$3:$A$33, $A28) + SUMIFS('근무표(입력)'!$R$3:$R$33, '근무표(입력)'!$O$3:$O$33, $E$1, '근무표(입력)'!$A$3:$A$33, $A28)</f>
        <v>0</v>
      </c>
      <c r="I28" s="9">
        <f t="shared" si="4"/>
        <v>46079</v>
      </c>
      <c r="J28" s="7" t="str">
        <f t="shared" si="5"/>
        <v>목</v>
      </c>
      <c r="K28" s="10">
        <f>SUMIFS('근무표(입력)'!$F$3:$F$33, '근무표(입력)'!$C$3:$C$33, $I$1, '근무표(입력)'!$A$3:$A$33, $A28) + SUMIFS('근무표(입력)'!$J$3:$J$33, '근무표(입력)'!$G$3:$G$33, $I$1, '근무표(입력)'!$A$3:$A$33, $A28) + SUMIFS('근무표(입력)'!$N$3:$N$33, '근무표(입력)'!$K$3:$K$33, $I$1, '근무표(입력)'!$A$3:$A$33, $A28) + SUMIFS('근무표(입력)'!$R$3:$R$33, '근무표(입력)'!$O$3:$O$33, $I$1, '근무표(입력)'!$A$3:$A$33, $A28)</f>
        <v>0</v>
      </c>
      <c r="M28" s="9">
        <f t="shared" si="6"/>
        <v>46079</v>
      </c>
      <c r="N28" s="7" t="str">
        <f t="shared" si="7"/>
        <v>목</v>
      </c>
      <c r="O28" s="10">
        <f>SUMIFS('근무표(입력)'!$F$3:$F$33, '근무표(입력)'!$C$3:$C$33, $M$1, '근무표(입력)'!$A$3:$A$33, $A28) + SUMIFS('근무표(입력)'!$J$3:$J$33, '근무표(입력)'!$G$3:$G$33, $M$1, '근무표(입력)'!$A$3:$A$33, $A28) + SUMIFS('근무표(입력)'!$N$3:$N$33, '근무표(입력)'!$K$3:$K$33, $M$1, '근무표(입력)'!$A$3:$A$33, $A28) + SUMIFS('근무표(입력)'!$R$3:$R$33, '근무표(입력)'!$O$3:$O$33, $M$1, '근무표(입력)'!$A$3:$A$33, $A28)</f>
        <v>0</v>
      </c>
      <c r="Q28" s="9">
        <f t="shared" si="8"/>
        <v>46079</v>
      </c>
      <c r="R28" s="7" t="str">
        <f t="shared" si="9"/>
        <v>목</v>
      </c>
      <c r="S28" s="10">
        <f>SUMIFS('근무표(입력)'!$F$3:$F$33, '근무표(입력)'!$C$3:$C$33, $Q$1, '근무표(입력)'!$A$3:$A$33, $A28) + SUMIFS('근무표(입력)'!$J$3:$J$33, '근무표(입력)'!$G$3:$G$33, $Q$1, '근무표(입력)'!$A$3:$A$33, $A28) + SUMIFS('근무표(입력)'!$N$3:$N$33, '근무표(입력)'!$K$3:$K$33, $Q$1, '근무표(입력)'!$A$3:$A$33, $A28) + SUMIFS('근무표(입력)'!$R$3:$R$33, '근무표(입력)'!$O$3:$O$33, $Q$1, '근무표(입력)'!$A$3:$A$33, $A28)</f>
        <v>0</v>
      </c>
      <c r="U28" s="9">
        <f t="shared" si="10"/>
        <v>46079</v>
      </c>
      <c r="V28" s="7" t="str">
        <f t="shared" si="11"/>
        <v>목</v>
      </c>
      <c r="W28" s="10">
        <f>SUMIFS('근무표(입력)'!$F$3:$F$33, '근무표(입력)'!$C$3:$C$33, $U$1, '근무표(입력)'!$A$3:$A$33, $A28) + SUMIFS('근무표(입력)'!$J$3:$J$33, '근무표(입력)'!$G$3:$G$33, $U$1, '근무표(입력)'!$A$3:$A$33, $A28) + SUMIFS('근무표(입력)'!$N$3:$N$33, '근무표(입력)'!$K$3:$K$33, $U$1, '근무표(입력)'!$A$3:$A$33, $A28) + SUMIFS('근무표(입력)'!$R$3:$R$33, '근무표(입력)'!$O$3:$O$33, $U$1, '근무표(입력)'!$A$3:$A$33, $A28)</f>
        <v>0</v>
      </c>
      <c r="Y28" s="9">
        <f t="shared" si="12"/>
        <v>46079</v>
      </c>
      <c r="Z28" s="7" t="str">
        <f t="shared" si="13"/>
        <v>목</v>
      </c>
      <c r="AA28" s="10">
        <f>SUMIFS('근무표(입력)'!$F$3:$F$33, '근무표(입력)'!$C$3:$C$33, $Y$1, '근무표(입력)'!$A$3:$A$33, $A28) + SUMIFS('근무표(입력)'!$J$3:$J$33, '근무표(입력)'!$G$3:$G$33, $Y$1, '근무표(입력)'!$A$3:$A$33, $A28) + SUMIFS('근무표(입력)'!$N$3:$N$33, '근무표(입력)'!$K$3:$K$33, $Y$1, '근무표(입력)'!$A$3:$A$33, $A28) + SUMIFS('근무표(입력)'!$R$3:$R$33, '근무표(입력)'!$O$3:$O$33, $Y$1, '근무표(입력)'!$A$3:$A$33, $A28)</f>
        <v>0</v>
      </c>
    </row>
    <row r="29" spans="1:27" x14ac:dyDescent="0.3">
      <c r="A29" s="12">
        <f t="shared" si="0"/>
        <v>46080</v>
      </c>
      <c r="B29" s="7" t="str">
        <f t="shared" si="1"/>
        <v>금</v>
      </c>
      <c r="C29" s="10">
        <f>SUMIFS('근무표(입력)'!$F$3:$F$33, '근무표(입력)'!$C$3:$C$33, $A$1, '근무표(입력)'!$A$3:$A$33, $A29) + SUMIFS('근무표(입력)'!$J$3:$J$33, '근무표(입력)'!$G$3:$G$33, $A$1, '근무표(입력)'!$A$3:$A$33, $A29) + SUMIFS('근무표(입력)'!$N$3:$N$33, '근무표(입력)'!$K$3:$K$33, $A$1, '근무표(입력)'!$A$3:$A$33, $A29) + SUMIFS('근무표(입력)'!$R$3:$R$33, '근무표(입력)'!$O$3:$O$33, $A$1, '근무표(입력)'!$A$3:$A$33, $A29)</f>
        <v>0</v>
      </c>
      <c r="E29" s="9">
        <f t="shared" si="2"/>
        <v>46080</v>
      </c>
      <c r="F29" s="7" t="str">
        <f t="shared" si="3"/>
        <v>금</v>
      </c>
      <c r="G29" s="10">
        <f>SUMIFS('근무표(입력)'!$F$3:$F$33, '근무표(입력)'!$C$3:$C$33, $E$1, '근무표(입력)'!$A$3:$A$33, $A29) + SUMIFS('근무표(입력)'!$J$3:$J$33, '근무표(입력)'!$G$3:$G$33, $E$1, '근무표(입력)'!$A$3:$A$33, $A29) + SUMIFS('근무표(입력)'!$N$3:$N$33, '근무표(입력)'!$K$3:$K$33, $E$1, '근무표(입력)'!$A$3:$A$33, $A29) + SUMIFS('근무표(입력)'!$R$3:$R$33, '근무표(입력)'!$O$3:$O$33, $E$1, '근무표(입력)'!$A$3:$A$33, $A29)</f>
        <v>0</v>
      </c>
      <c r="I29" s="9">
        <f t="shared" si="4"/>
        <v>46080</v>
      </c>
      <c r="J29" s="7" t="str">
        <f t="shared" si="5"/>
        <v>금</v>
      </c>
      <c r="K29" s="10">
        <f>SUMIFS('근무표(입력)'!$F$3:$F$33, '근무표(입력)'!$C$3:$C$33, $I$1, '근무표(입력)'!$A$3:$A$33, $A29) + SUMIFS('근무표(입력)'!$J$3:$J$33, '근무표(입력)'!$G$3:$G$33, $I$1, '근무표(입력)'!$A$3:$A$33, $A29) + SUMIFS('근무표(입력)'!$N$3:$N$33, '근무표(입력)'!$K$3:$K$33, $I$1, '근무표(입력)'!$A$3:$A$33, $A29) + SUMIFS('근무표(입력)'!$R$3:$R$33, '근무표(입력)'!$O$3:$O$33, $I$1, '근무표(입력)'!$A$3:$A$33, $A29)</f>
        <v>0</v>
      </c>
      <c r="M29" s="9">
        <f t="shared" si="6"/>
        <v>46080</v>
      </c>
      <c r="N29" s="7" t="str">
        <f t="shared" si="7"/>
        <v>금</v>
      </c>
      <c r="O29" s="10">
        <f>SUMIFS('근무표(입력)'!$F$3:$F$33, '근무표(입력)'!$C$3:$C$33, $M$1, '근무표(입력)'!$A$3:$A$33, $A29) + SUMIFS('근무표(입력)'!$J$3:$J$33, '근무표(입력)'!$G$3:$G$33, $M$1, '근무표(입력)'!$A$3:$A$33, $A29) + SUMIFS('근무표(입력)'!$N$3:$N$33, '근무표(입력)'!$K$3:$K$33, $M$1, '근무표(입력)'!$A$3:$A$33, $A29) + SUMIFS('근무표(입력)'!$R$3:$R$33, '근무표(입력)'!$O$3:$O$33, $M$1, '근무표(입력)'!$A$3:$A$33, $A29)</f>
        <v>0</v>
      </c>
      <c r="Q29" s="9">
        <f t="shared" si="8"/>
        <v>46080</v>
      </c>
      <c r="R29" s="7" t="str">
        <f t="shared" si="9"/>
        <v>금</v>
      </c>
      <c r="S29" s="10">
        <f>SUMIFS('근무표(입력)'!$F$3:$F$33, '근무표(입력)'!$C$3:$C$33, $Q$1, '근무표(입력)'!$A$3:$A$33, $A29) + SUMIFS('근무표(입력)'!$J$3:$J$33, '근무표(입력)'!$G$3:$G$33, $Q$1, '근무표(입력)'!$A$3:$A$33, $A29) + SUMIFS('근무표(입력)'!$N$3:$N$33, '근무표(입력)'!$K$3:$K$33, $Q$1, '근무표(입력)'!$A$3:$A$33, $A29) + SUMIFS('근무표(입력)'!$R$3:$R$33, '근무표(입력)'!$O$3:$O$33, $Q$1, '근무표(입력)'!$A$3:$A$33, $A29)</f>
        <v>0</v>
      </c>
      <c r="U29" s="9">
        <f t="shared" si="10"/>
        <v>46080</v>
      </c>
      <c r="V29" s="7" t="str">
        <f t="shared" si="11"/>
        <v>금</v>
      </c>
      <c r="W29" s="10">
        <f>SUMIFS('근무표(입력)'!$F$3:$F$33, '근무표(입력)'!$C$3:$C$33, $U$1, '근무표(입력)'!$A$3:$A$33, $A29) + SUMIFS('근무표(입력)'!$J$3:$J$33, '근무표(입력)'!$G$3:$G$33, $U$1, '근무표(입력)'!$A$3:$A$33, $A29) + SUMIFS('근무표(입력)'!$N$3:$N$33, '근무표(입력)'!$K$3:$K$33, $U$1, '근무표(입력)'!$A$3:$A$33, $A29) + SUMIFS('근무표(입력)'!$R$3:$R$33, '근무표(입력)'!$O$3:$O$33, $U$1, '근무표(입력)'!$A$3:$A$33, $A29)</f>
        <v>0</v>
      </c>
      <c r="Y29" s="9">
        <f t="shared" si="12"/>
        <v>46080</v>
      </c>
      <c r="Z29" s="7" t="str">
        <f t="shared" si="13"/>
        <v>금</v>
      </c>
      <c r="AA29" s="10">
        <f>SUMIFS('근무표(입력)'!$F$3:$F$33, '근무표(입력)'!$C$3:$C$33, $Y$1, '근무표(입력)'!$A$3:$A$33, $A29) + SUMIFS('근무표(입력)'!$J$3:$J$33, '근무표(입력)'!$G$3:$G$33, $Y$1, '근무표(입력)'!$A$3:$A$33, $A29) + SUMIFS('근무표(입력)'!$N$3:$N$33, '근무표(입력)'!$K$3:$K$33, $Y$1, '근무표(입력)'!$A$3:$A$33, $A29) + SUMIFS('근무표(입력)'!$R$3:$R$33, '근무표(입력)'!$O$3:$O$33, $Y$1, '근무표(입력)'!$A$3:$A$33, $A29)</f>
        <v>0</v>
      </c>
    </row>
    <row r="30" spans="1:27" x14ac:dyDescent="0.3">
      <c r="A30" s="12">
        <f t="shared" si="0"/>
        <v>46081</v>
      </c>
      <c r="B30" s="7" t="str">
        <f t="shared" si="1"/>
        <v>토</v>
      </c>
      <c r="C30" s="10">
        <f>SUMIFS('근무표(입력)'!$F$3:$F$33, '근무표(입력)'!$C$3:$C$33, $A$1, '근무표(입력)'!$A$3:$A$33, $A30) + SUMIFS('근무표(입력)'!$J$3:$J$33, '근무표(입력)'!$G$3:$G$33, $A$1, '근무표(입력)'!$A$3:$A$33, $A30) + SUMIFS('근무표(입력)'!$N$3:$N$33, '근무표(입력)'!$K$3:$K$33, $A$1, '근무표(입력)'!$A$3:$A$33, $A30) + SUMIFS('근무표(입력)'!$R$3:$R$33, '근무표(입력)'!$O$3:$O$33, $A$1, '근무표(입력)'!$A$3:$A$33, $A30)</f>
        <v>0</v>
      </c>
      <c r="E30" s="9">
        <f t="shared" si="2"/>
        <v>46081</v>
      </c>
      <c r="F30" s="7" t="str">
        <f t="shared" si="3"/>
        <v>토</v>
      </c>
      <c r="G30" s="10">
        <f>SUMIFS('근무표(입력)'!$F$3:$F$33, '근무표(입력)'!$C$3:$C$33, $E$1, '근무표(입력)'!$A$3:$A$33, $A30) + SUMIFS('근무표(입력)'!$J$3:$J$33, '근무표(입력)'!$G$3:$G$33, $E$1, '근무표(입력)'!$A$3:$A$33, $A30) + SUMIFS('근무표(입력)'!$N$3:$N$33, '근무표(입력)'!$K$3:$K$33, $E$1, '근무표(입력)'!$A$3:$A$33, $A30) + SUMIFS('근무표(입력)'!$R$3:$R$33, '근무표(입력)'!$O$3:$O$33, $E$1, '근무표(입력)'!$A$3:$A$33, $A30)</f>
        <v>0</v>
      </c>
      <c r="I30" s="9">
        <f t="shared" si="4"/>
        <v>46081</v>
      </c>
      <c r="J30" s="7" t="str">
        <f t="shared" si="5"/>
        <v>토</v>
      </c>
      <c r="K30" s="10">
        <f>SUMIFS('근무표(입력)'!$F$3:$F$33, '근무표(입력)'!$C$3:$C$33, $I$1, '근무표(입력)'!$A$3:$A$33, $A30) + SUMIFS('근무표(입력)'!$J$3:$J$33, '근무표(입력)'!$G$3:$G$33, $I$1, '근무표(입력)'!$A$3:$A$33, $A30) + SUMIFS('근무표(입력)'!$N$3:$N$33, '근무표(입력)'!$K$3:$K$33, $I$1, '근무표(입력)'!$A$3:$A$33, $A30) + SUMIFS('근무표(입력)'!$R$3:$R$33, '근무표(입력)'!$O$3:$O$33, $I$1, '근무표(입력)'!$A$3:$A$33, $A30)</f>
        <v>0</v>
      </c>
      <c r="M30" s="9">
        <f t="shared" si="6"/>
        <v>46081</v>
      </c>
      <c r="N30" s="7" t="str">
        <f t="shared" si="7"/>
        <v>토</v>
      </c>
      <c r="O30" s="10">
        <f>SUMIFS('근무표(입력)'!$F$3:$F$33, '근무표(입력)'!$C$3:$C$33, $M$1, '근무표(입력)'!$A$3:$A$33, $A30) + SUMIFS('근무표(입력)'!$J$3:$J$33, '근무표(입력)'!$G$3:$G$33, $M$1, '근무표(입력)'!$A$3:$A$33, $A30) + SUMIFS('근무표(입력)'!$N$3:$N$33, '근무표(입력)'!$K$3:$K$33, $M$1, '근무표(입력)'!$A$3:$A$33, $A30) + SUMIFS('근무표(입력)'!$R$3:$R$33, '근무표(입력)'!$O$3:$O$33, $M$1, '근무표(입력)'!$A$3:$A$33, $A30)</f>
        <v>0</v>
      </c>
      <c r="Q30" s="9">
        <f t="shared" si="8"/>
        <v>46081</v>
      </c>
      <c r="R30" s="7" t="str">
        <f t="shared" si="9"/>
        <v>토</v>
      </c>
      <c r="S30" s="10">
        <f>SUMIFS('근무표(입력)'!$F$3:$F$33, '근무표(입력)'!$C$3:$C$33, $Q$1, '근무표(입력)'!$A$3:$A$33, $A30) + SUMIFS('근무표(입력)'!$J$3:$J$33, '근무표(입력)'!$G$3:$G$33, $Q$1, '근무표(입력)'!$A$3:$A$33, $A30) + SUMIFS('근무표(입력)'!$N$3:$N$33, '근무표(입력)'!$K$3:$K$33, $Q$1, '근무표(입력)'!$A$3:$A$33, $A30) + SUMIFS('근무표(입력)'!$R$3:$R$33, '근무표(입력)'!$O$3:$O$33, $Q$1, '근무표(입력)'!$A$3:$A$33, $A30)</f>
        <v>0</v>
      </c>
      <c r="U30" s="9">
        <f t="shared" si="10"/>
        <v>46081</v>
      </c>
      <c r="V30" s="7" t="str">
        <f t="shared" si="11"/>
        <v>토</v>
      </c>
      <c r="W30" s="10">
        <f>SUMIFS('근무표(입력)'!$F$3:$F$33, '근무표(입력)'!$C$3:$C$33, $U$1, '근무표(입력)'!$A$3:$A$33, $A30) + SUMIFS('근무표(입력)'!$J$3:$J$33, '근무표(입력)'!$G$3:$G$33, $U$1, '근무표(입력)'!$A$3:$A$33, $A30) + SUMIFS('근무표(입력)'!$N$3:$N$33, '근무표(입력)'!$K$3:$K$33, $U$1, '근무표(입력)'!$A$3:$A$33, $A30) + SUMIFS('근무표(입력)'!$R$3:$R$33, '근무표(입력)'!$O$3:$O$33, $U$1, '근무표(입력)'!$A$3:$A$33, $A30)</f>
        <v>0</v>
      </c>
      <c r="Y30" s="9">
        <f t="shared" si="12"/>
        <v>46081</v>
      </c>
      <c r="Z30" s="7" t="str">
        <f t="shared" si="13"/>
        <v>토</v>
      </c>
      <c r="AA30" s="10">
        <f>SUMIFS('근무표(입력)'!$F$3:$F$33, '근무표(입력)'!$C$3:$C$33, $Y$1, '근무표(입력)'!$A$3:$A$33, $A30) + SUMIFS('근무표(입력)'!$J$3:$J$33, '근무표(입력)'!$G$3:$G$33, $Y$1, '근무표(입력)'!$A$3:$A$33, $A30) + SUMIFS('근무표(입력)'!$N$3:$N$33, '근무표(입력)'!$K$3:$K$33, $Y$1, '근무표(입력)'!$A$3:$A$33, $A30) + SUMIFS('근무표(입력)'!$R$3:$R$33, '근무표(입력)'!$O$3:$O$33, $Y$1, '근무표(입력)'!$A$3:$A$33, $A30)</f>
        <v>0</v>
      </c>
    </row>
    <row r="31" spans="1:27" x14ac:dyDescent="0.3">
      <c r="A31" s="12" t="str">
        <f t="shared" si="0"/>
        <v/>
      </c>
      <c r="B31" s="7" t="str">
        <f t="shared" si="1"/>
        <v/>
      </c>
      <c r="C31" s="10">
        <f>SUMIFS('근무표(입력)'!$F$3:$F$33, '근무표(입력)'!$C$3:$C$33, $A$1, '근무표(입력)'!$A$3:$A$33, $A31) + SUMIFS('근무표(입력)'!$J$3:$J$33, '근무표(입력)'!$G$3:$G$33, $A$1, '근무표(입력)'!$A$3:$A$33, $A31) + SUMIFS('근무표(입력)'!$N$3:$N$33, '근무표(입력)'!$K$3:$K$33, $A$1, '근무표(입력)'!$A$3:$A$33, $A31) + SUMIFS('근무표(입력)'!$R$3:$R$33, '근무표(입력)'!$O$3:$O$33, $A$1, '근무표(입력)'!$A$3:$A$33, $A31)</f>
        <v>0</v>
      </c>
      <c r="E31" s="9" t="str">
        <f t="shared" si="2"/>
        <v/>
      </c>
      <c r="F31" s="7" t="str">
        <f t="shared" si="3"/>
        <v/>
      </c>
      <c r="G31" s="10">
        <f>SUMIFS('근무표(입력)'!$F$3:$F$33, '근무표(입력)'!$C$3:$C$33, $E$1, '근무표(입력)'!$A$3:$A$33, $A31) + SUMIFS('근무표(입력)'!$J$3:$J$33, '근무표(입력)'!$G$3:$G$33, $E$1, '근무표(입력)'!$A$3:$A$33, $A31) + SUMIFS('근무표(입력)'!$N$3:$N$33, '근무표(입력)'!$K$3:$K$33, $E$1, '근무표(입력)'!$A$3:$A$33, $A31) + SUMIFS('근무표(입력)'!$R$3:$R$33, '근무표(입력)'!$O$3:$O$33, $E$1, '근무표(입력)'!$A$3:$A$33, $A31)</f>
        <v>0</v>
      </c>
      <c r="I31" s="9" t="str">
        <f t="shared" si="4"/>
        <v/>
      </c>
      <c r="J31" s="7" t="str">
        <f t="shared" si="5"/>
        <v/>
      </c>
      <c r="K31" s="10">
        <f>SUMIFS('근무표(입력)'!$F$3:$F$33, '근무표(입력)'!$C$3:$C$33, $I$1, '근무표(입력)'!$A$3:$A$33, $A31) + SUMIFS('근무표(입력)'!$J$3:$J$33, '근무표(입력)'!$G$3:$G$33, $I$1, '근무표(입력)'!$A$3:$A$33, $A31) + SUMIFS('근무표(입력)'!$N$3:$N$33, '근무표(입력)'!$K$3:$K$33, $I$1, '근무표(입력)'!$A$3:$A$33, $A31) + SUMIFS('근무표(입력)'!$R$3:$R$33, '근무표(입력)'!$O$3:$O$33, $I$1, '근무표(입력)'!$A$3:$A$33, $A31)</f>
        <v>0</v>
      </c>
      <c r="M31" s="9" t="str">
        <f t="shared" si="6"/>
        <v/>
      </c>
      <c r="N31" s="7" t="str">
        <f t="shared" si="7"/>
        <v/>
      </c>
      <c r="O31" s="10">
        <f>SUMIFS('근무표(입력)'!$F$3:$F$33, '근무표(입력)'!$C$3:$C$33, $M$1, '근무표(입력)'!$A$3:$A$33, $A31) + SUMIFS('근무표(입력)'!$J$3:$J$33, '근무표(입력)'!$G$3:$G$33, $M$1, '근무표(입력)'!$A$3:$A$33, $A31) + SUMIFS('근무표(입력)'!$N$3:$N$33, '근무표(입력)'!$K$3:$K$33, $M$1, '근무표(입력)'!$A$3:$A$33, $A31) + SUMIFS('근무표(입력)'!$R$3:$R$33, '근무표(입력)'!$O$3:$O$33, $M$1, '근무표(입력)'!$A$3:$A$33, $A31)</f>
        <v>0</v>
      </c>
      <c r="Q31" s="9" t="str">
        <f t="shared" si="8"/>
        <v/>
      </c>
      <c r="R31" s="7" t="str">
        <f t="shared" si="9"/>
        <v/>
      </c>
      <c r="S31" s="10">
        <f>SUMIFS('근무표(입력)'!$F$3:$F$33, '근무표(입력)'!$C$3:$C$33, $Q$1, '근무표(입력)'!$A$3:$A$33, $A31) + SUMIFS('근무표(입력)'!$J$3:$J$33, '근무표(입력)'!$G$3:$G$33, $Q$1, '근무표(입력)'!$A$3:$A$33, $A31) + SUMIFS('근무표(입력)'!$N$3:$N$33, '근무표(입력)'!$K$3:$K$33, $Q$1, '근무표(입력)'!$A$3:$A$33, $A31) + SUMIFS('근무표(입력)'!$R$3:$R$33, '근무표(입력)'!$O$3:$O$33, $Q$1, '근무표(입력)'!$A$3:$A$33, $A31)</f>
        <v>0</v>
      </c>
      <c r="U31" s="9" t="str">
        <f t="shared" si="10"/>
        <v/>
      </c>
      <c r="V31" s="7" t="str">
        <f t="shared" si="11"/>
        <v/>
      </c>
      <c r="W31" s="10">
        <f>SUMIFS('근무표(입력)'!$F$3:$F$33, '근무표(입력)'!$C$3:$C$33, $U$1, '근무표(입력)'!$A$3:$A$33, $A31) + SUMIFS('근무표(입력)'!$J$3:$J$33, '근무표(입력)'!$G$3:$G$33, $U$1, '근무표(입력)'!$A$3:$A$33, $A31) + SUMIFS('근무표(입력)'!$N$3:$N$33, '근무표(입력)'!$K$3:$K$33, $U$1, '근무표(입력)'!$A$3:$A$33, $A31) + SUMIFS('근무표(입력)'!$R$3:$R$33, '근무표(입력)'!$O$3:$O$33, $U$1, '근무표(입력)'!$A$3:$A$33, $A31)</f>
        <v>0</v>
      </c>
      <c r="Y31" s="9" t="str">
        <f t="shared" si="12"/>
        <v/>
      </c>
      <c r="Z31" s="7" t="str">
        <f t="shared" si="13"/>
        <v/>
      </c>
      <c r="AA31" s="10">
        <f>SUMIFS('근무표(입력)'!$F$3:$F$33, '근무표(입력)'!$C$3:$C$33, $Y$1, '근무표(입력)'!$A$3:$A$33, $A31) + SUMIFS('근무표(입력)'!$J$3:$J$33, '근무표(입력)'!$G$3:$G$33, $Y$1, '근무표(입력)'!$A$3:$A$33, $A31) + SUMIFS('근무표(입력)'!$N$3:$N$33, '근무표(입력)'!$K$3:$K$33, $Y$1, '근무표(입력)'!$A$3:$A$33, $A31) + SUMIFS('근무표(입력)'!$R$3:$R$33, '근무표(입력)'!$O$3:$O$33, $Y$1, '근무표(입력)'!$A$3:$A$33, $A31)</f>
        <v>0</v>
      </c>
    </row>
    <row r="32" spans="1:27" x14ac:dyDescent="0.3">
      <c r="A32" s="12" t="str">
        <f t="shared" si="0"/>
        <v/>
      </c>
      <c r="B32" s="7" t="str">
        <f t="shared" si="1"/>
        <v/>
      </c>
      <c r="C32" s="10">
        <f>SUMIFS('근무표(입력)'!$F$3:$F$33, '근무표(입력)'!$C$3:$C$33, $A$1, '근무표(입력)'!$A$3:$A$33, $A32) + SUMIFS('근무표(입력)'!$J$3:$J$33, '근무표(입력)'!$G$3:$G$33, $A$1, '근무표(입력)'!$A$3:$A$33, $A32) + SUMIFS('근무표(입력)'!$N$3:$N$33, '근무표(입력)'!$K$3:$K$33, $A$1, '근무표(입력)'!$A$3:$A$33, $A32) + SUMIFS('근무표(입력)'!$R$3:$R$33, '근무표(입력)'!$O$3:$O$33, $A$1, '근무표(입력)'!$A$3:$A$33, $A32)</f>
        <v>0</v>
      </c>
      <c r="E32" s="9" t="str">
        <f t="shared" si="2"/>
        <v/>
      </c>
      <c r="F32" s="7" t="str">
        <f t="shared" si="3"/>
        <v/>
      </c>
      <c r="G32" s="10">
        <f>SUMIFS('근무표(입력)'!$F$3:$F$33, '근무표(입력)'!$C$3:$C$33, $E$1, '근무표(입력)'!$A$3:$A$33, $A32) + SUMIFS('근무표(입력)'!$J$3:$J$33, '근무표(입력)'!$G$3:$G$33, $E$1, '근무표(입력)'!$A$3:$A$33, $A32) + SUMIFS('근무표(입력)'!$N$3:$N$33, '근무표(입력)'!$K$3:$K$33, $E$1, '근무표(입력)'!$A$3:$A$33, $A32) + SUMIFS('근무표(입력)'!$R$3:$R$33, '근무표(입력)'!$O$3:$O$33, $E$1, '근무표(입력)'!$A$3:$A$33, $A32)</f>
        <v>0</v>
      </c>
      <c r="I32" s="9" t="str">
        <f t="shared" si="4"/>
        <v/>
      </c>
      <c r="J32" s="7" t="str">
        <f t="shared" si="5"/>
        <v/>
      </c>
      <c r="K32" s="10">
        <f>SUMIFS('근무표(입력)'!$F$3:$F$33, '근무표(입력)'!$C$3:$C$33, $I$1, '근무표(입력)'!$A$3:$A$33, $A32) + SUMIFS('근무표(입력)'!$J$3:$J$33, '근무표(입력)'!$G$3:$G$33, $I$1, '근무표(입력)'!$A$3:$A$33, $A32) + SUMIFS('근무표(입력)'!$N$3:$N$33, '근무표(입력)'!$K$3:$K$33, $I$1, '근무표(입력)'!$A$3:$A$33, $A32) + SUMIFS('근무표(입력)'!$R$3:$R$33, '근무표(입력)'!$O$3:$O$33, $I$1, '근무표(입력)'!$A$3:$A$33, $A32)</f>
        <v>0</v>
      </c>
      <c r="M32" s="9" t="str">
        <f t="shared" si="6"/>
        <v/>
      </c>
      <c r="N32" s="7" t="str">
        <f t="shared" si="7"/>
        <v/>
      </c>
      <c r="O32" s="10">
        <f>SUMIFS('근무표(입력)'!$F$3:$F$33, '근무표(입력)'!$C$3:$C$33, $M$1, '근무표(입력)'!$A$3:$A$33, $A32) + SUMIFS('근무표(입력)'!$J$3:$J$33, '근무표(입력)'!$G$3:$G$33, $M$1, '근무표(입력)'!$A$3:$A$33, $A32) + SUMIFS('근무표(입력)'!$N$3:$N$33, '근무표(입력)'!$K$3:$K$33, $M$1, '근무표(입력)'!$A$3:$A$33, $A32) + SUMIFS('근무표(입력)'!$R$3:$R$33, '근무표(입력)'!$O$3:$O$33, $M$1, '근무표(입력)'!$A$3:$A$33, $A32)</f>
        <v>0</v>
      </c>
      <c r="Q32" s="9" t="str">
        <f t="shared" si="8"/>
        <v/>
      </c>
      <c r="R32" s="7" t="str">
        <f t="shared" si="9"/>
        <v/>
      </c>
      <c r="S32" s="10">
        <f>SUMIFS('근무표(입력)'!$F$3:$F$33, '근무표(입력)'!$C$3:$C$33, $Q$1, '근무표(입력)'!$A$3:$A$33, $A32) + SUMIFS('근무표(입력)'!$J$3:$J$33, '근무표(입력)'!$G$3:$G$33, $Q$1, '근무표(입력)'!$A$3:$A$33, $A32) + SUMIFS('근무표(입력)'!$N$3:$N$33, '근무표(입력)'!$K$3:$K$33, $Q$1, '근무표(입력)'!$A$3:$A$33, $A32) + SUMIFS('근무표(입력)'!$R$3:$R$33, '근무표(입력)'!$O$3:$O$33, $Q$1, '근무표(입력)'!$A$3:$A$33, $A32)</f>
        <v>0</v>
      </c>
      <c r="U32" s="9" t="str">
        <f t="shared" si="10"/>
        <v/>
      </c>
      <c r="V32" s="7" t="str">
        <f t="shared" si="11"/>
        <v/>
      </c>
      <c r="W32" s="10">
        <f>SUMIFS('근무표(입력)'!$F$3:$F$33, '근무표(입력)'!$C$3:$C$33, $U$1, '근무표(입력)'!$A$3:$A$33, $A32) + SUMIFS('근무표(입력)'!$J$3:$J$33, '근무표(입력)'!$G$3:$G$33, $U$1, '근무표(입력)'!$A$3:$A$33, $A32) + SUMIFS('근무표(입력)'!$N$3:$N$33, '근무표(입력)'!$K$3:$K$33, $U$1, '근무표(입력)'!$A$3:$A$33, $A32) + SUMIFS('근무표(입력)'!$R$3:$R$33, '근무표(입력)'!$O$3:$O$33, $U$1, '근무표(입력)'!$A$3:$A$33, $A32)</f>
        <v>0</v>
      </c>
      <c r="Y32" s="9" t="str">
        <f t="shared" si="12"/>
        <v/>
      </c>
      <c r="Z32" s="7" t="str">
        <f t="shared" si="13"/>
        <v/>
      </c>
      <c r="AA32" s="10">
        <f>SUMIFS('근무표(입력)'!$F$3:$F$33, '근무표(입력)'!$C$3:$C$33, $Y$1, '근무표(입력)'!$A$3:$A$33, $A32) + SUMIFS('근무표(입력)'!$J$3:$J$33, '근무표(입력)'!$G$3:$G$33, $Y$1, '근무표(입력)'!$A$3:$A$33, $A32) + SUMIFS('근무표(입력)'!$N$3:$N$33, '근무표(입력)'!$K$3:$K$33, $Y$1, '근무표(입력)'!$A$3:$A$33, $A32) + SUMIFS('근무표(입력)'!$R$3:$R$33, '근무표(입력)'!$O$3:$O$33, $Y$1, '근무표(입력)'!$A$3:$A$33, $A32)</f>
        <v>0</v>
      </c>
    </row>
    <row r="33" spans="1:27" ht="17.25" thickBot="1" x14ac:dyDescent="0.35">
      <c r="A33" s="12" t="str">
        <f t="shared" si="0"/>
        <v/>
      </c>
      <c r="B33" s="7" t="str">
        <f t="shared" si="1"/>
        <v/>
      </c>
      <c r="C33" s="10">
        <f>SUMIFS('근무표(입력)'!$F$3:$F$33, '근무표(입력)'!$C$3:$C$33, $A$1, '근무표(입력)'!$A$3:$A$33, $A33) + SUMIFS('근무표(입력)'!$J$3:$J$33, '근무표(입력)'!$G$3:$G$33, $A$1, '근무표(입력)'!$A$3:$A$33, $A33) + SUMIFS('근무표(입력)'!$N$3:$N$33, '근무표(입력)'!$K$3:$K$33, $A$1, '근무표(입력)'!$A$3:$A$33, $A33) + SUMIFS('근무표(입력)'!$R$3:$R$33, '근무표(입력)'!$O$3:$O$33, $A$1, '근무표(입력)'!$A$3:$A$33, $A33)</f>
        <v>0</v>
      </c>
      <c r="E33" s="9" t="str">
        <f t="shared" si="2"/>
        <v/>
      </c>
      <c r="F33" s="7" t="str">
        <f t="shared" si="3"/>
        <v/>
      </c>
      <c r="G33" s="10">
        <f>SUMIFS('근무표(입력)'!$F$3:$F$33, '근무표(입력)'!$C$3:$C$33, $E$1, '근무표(입력)'!$A$3:$A$33, $A33) + SUMIFS('근무표(입력)'!$J$3:$J$33, '근무표(입력)'!$G$3:$G$33, $E$1, '근무표(입력)'!$A$3:$A$33, $A33) + SUMIFS('근무표(입력)'!$N$3:$N$33, '근무표(입력)'!$K$3:$K$33, $E$1, '근무표(입력)'!$A$3:$A$33, $A33) + SUMIFS('근무표(입력)'!$R$3:$R$33, '근무표(입력)'!$O$3:$O$33, $E$1, '근무표(입력)'!$A$3:$A$33, $A33)</f>
        <v>0</v>
      </c>
      <c r="I33" s="9" t="str">
        <f t="shared" si="4"/>
        <v/>
      </c>
      <c r="J33" s="7" t="str">
        <f t="shared" si="5"/>
        <v/>
      </c>
      <c r="K33" s="10">
        <f>SUMIFS('근무표(입력)'!$F$3:$F$33, '근무표(입력)'!$C$3:$C$33, $I$1, '근무표(입력)'!$A$3:$A$33, $A33) + SUMIFS('근무표(입력)'!$J$3:$J$33, '근무표(입력)'!$G$3:$G$33, $I$1, '근무표(입력)'!$A$3:$A$33, $A33) + SUMIFS('근무표(입력)'!$N$3:$N$33, '근무표(입력)'!$K$3:$K$33, $I$1, '근무표(입력)'!$A$3:$A$33, $A33) + SUMIFS('근무표(입력)'!$R$3:$R$33, '근무표(입력)'!$O$3:$O$33, $I$1, '근무표(입력)'!$A$3:$A$33, $A33)</f>
        <v>0</v>
      </c>
      <c r="M33" s="9" t="str">
        <f t="shared" si="6"/>
        <v/>
      </c>
      <c r="N33" s="7" t="str">
        <f t="shared" si="7"/>
        <v/>
      </c>
      <c r="O33" s="10">
        <f>SUMIFS('근무표(입력)'!$F$3:$F$33, '근무표(입력)'!$C$3:$C$33, $M$1, '근무표(입력)'!$A$3:$A$33, $A33) + SUMIFS('근무표(입력)'!$J$3:$J$33, '근무표(입력)'!$G$3:$G$33, $M$1, '근무표(입력)'!$A$3:$A$33, $A33) + SUMIFS('근무표(입력)'!$N$3:$N$33, '근무표(입력)'!$K$3:$K$33, $M$1, '근무표(입력)'!$A$3:$A$33, $A33) + SUMIFS('근무표(입력)'!$R$3:$R$33, '근무표(입력)'!$O$3:$O$33, $M$1, '근무표(입력)'!$A$3:$A$33, $A33)</f>
        <v>0</v>
      </c>
      <c r="Q33" s="14" t="str">
        <f t="shared" si="8"/>
        <v/>
      </c>
      <c r="R33" s="15" t="str">
        <f t="shared" si="9"/>
        <v/>
      </c>
      <c r="S33" s="11">
        <f>SUMIFS('근무표(입력)'!$F$3:$F$33, '근무표(입력)'!$C$3:$C$33, $Q$1, '근무표(입력)'!$A$3:$A$33, $A33) + SUMIFS('근무표(입력)'!$J$3:$J$33, '근무표(입력)'!$G$3:$G$33, $Q$1, '근무표(입력)'!$A$3:$A$33, $A33) + SUMIFS('근무표(입력)'!$N$3:$N$33, '근무표(입력)'!$K$3:$K$33, $Q$1, '근무표(입력)'!$A$3:$A$33, $A33) + SUMIFS('근무표(입력)'!$R$3:$R$33, '근무표(입력)'!$O$3:$O$33, $Q$1, '근무표(입력)'!$A$3:$A$33, $A33)</f>
        <v>0</v>
      </c>
      <c r="U33" s="9" t="str">
        <f t="shared" si="10"/>
        <v/>
      </c>
      <c r="V33" s="7" t="str">
        <f t="shared" si="11"/>
        <v/>
      </c>
      <c r="W33" s="10">
        <f>SUMIFS('근무표(입력)'!$F$3:$F$33, '근무표(입력)'!$C$3:$C$33, $U$1, '근무표(입력)'!$A$3:$A$33, $A33) + SUMIFS('근무표(입력)'!$J$3:$J$33, '근무표(입력)'!$G$3:$G$33, $U$1, '근무표(입력)'!$A$3:$A$33, $A33) + SUMIFS('근무표(입력)'!$N$3:$N$33, '근무표(입력)'!$K$3:$K$33, $U$1, '근무표(입력)'!$A$3:$A$33, $A33) + SUMIFS('근무표(입력)'!$R$3:$R$33, '근무표(입력)'!$O$3:$O$33, $U$1, '근무표(입력)'!$A$3:$A$33, $A33)</f>
        <v>0</v>
      </c>
      <c r="Y33" s="9" t="str">
        <f t="shared" si="12"/>
        <v/>
      </c>
      <c r="Z33" s="7" t="str">
        <f t="shared" si="13"/>
        <v/>
      </c>
      <c r="AA33" s="10">
        <f>SUMIFS('근무표(입력)'!$F$3:$F$33, '근무표(입력)'!$C$3:$C$33, $Y$1, '근무표(입력)'!$A$3:$A$33, $A33) + SUMIFS('근무표(입력)'!$J$3:$J$33, '근무표(입력)'!$G$3:$G$33, $Y$1, '근무표(입력)'!$A$3:$A$33, $A33) + SUMIFS('근무표(입력)'!$N$3:$N$33, '근무표(입력)'!$K$3:$K$33, $Y$1, '근무표(입력)'!$A$3:$A$33, $A33) + SUMIFS('근무표(입력)'!$R$3:$R$33, '근무표(입력)'!$O$3:$O$33, $Y$1, '근무표(입력)'!$A$3:$A$33, $A33)</f>
        <v>0</v>
      </c>
    </row>
    <row r="34" spans="1:27" ht="17.25" thickBot="1" x14ac:dyDescent="0.35">
      <c r="A34" s="132" t="s">
        <v>34</v>
      </c>
      <c r="B34" s="133"/>
      <c r="C34" s="11">
        <f>SUM(C3:C33)</f>
        <v>0</v>
      </c>
      <c r="E34" s="132" t="s">
        <v>34</v>
      </c>
      <c r="F34" s="133"/>
      <c r="G34" s="11">
        <f>SUM(G3:G33)</f>
        <v>0</v>
      </c>
      <c r="I34" s="132" t="s">
        <v>34</v>
      </c>
      <c r="J34" s="133"/>
      <c r="K34" s="11">
        <f>SUM(K3:K33)</f>
        <v>0</v>
      </c>
      <c r="M34" s="132" t="s">
        <v>34</v>
      </c>
      <c r="N34" s="133"/>
      <c r="O34" s="11">
        <f>SUM(O3:O33)</f>
        <v>0</v>
      </c>
      <c r="Q34" s="134" t="s">
        <v>34</v>
      </c>
      <c r="R34" s="134"/>
      <c r="S34" s="13">
        <f>SUM(S3:S33)</f>
        <v>0</v>
      </c>
      <c r="U34" s="132" t="s">
        <v>34</v>
      </c>
      <c r="V34" s="133"/>
      <c r="W34" s="11">
        <f>SUM(W3:W33)</f>
        <v>0</v>
      </c>
      <c r="Y34" s="132" t="s">
        <v>34</v>
      </c>
      <c r="Z34" s="133"/>
      <c r="AA34" s="11">
        <f>SUM(AA3:AA33)</f>
        <v>0</v>
      </c>
    </row>
    <row r="35" spans="1:27" ht="17.25" thickBot="1" x14ac:dyDescent="0.35"/>
    <row r="36" spans="1:27" ht="20.25" x14ac:dyDescent="0.35">
      <c r="A36" s="126">
        <f>'근무표(입력)'!Y10</f>
        <v>0</v>
      </c>
      <c r="B36" s="127"/>
      <c r="C36" s="128"/>
      <c r="D36" s="8"/>
      <c r="E36" s="126">
        <f>'근무표(입력)'!Y11</f>
        <v>0</v>
      </c>
      <c r="F36" s="127"/>
      <c r="G36" s="128"/>
      <c r="H36" s="8"/>
      <c r="I36" s="126">
        <f>'근무표(입력)'!Y12</f>
        <v>0</v>
      </c>
      <c r="J36" s="127"/>
      <c r="K36" s="128"/>
      <c r="L36" s="8"/>
      <c r="M36" s="126">
        <f>'근무표(입력)'!Y13</f>
        <v>0</v>
      </c>
      <c r="N36" s="127"/>
      <c r="O36" s="128"/>
      <c r="P36" s="8"/>
      <c r="Q36" s="126">
        <f>'근무표(입력)'!Y14</f>
        <v>0</v>
      </c>
      <c r="R36" s="127"/>
      <c r="S36" s="128"/>
      <c r="T36" s="8"/>
      <c r="U36" s="126">
        <f>'근무표(입력)'!Y15</f>
        <v>0</v>
      </c>
      <c r="V36" s="127"/>
      <c r="W36" s="128"/>
      <c r="X36" s="8"/>
      <c r="Y36" s="126">
        <f>'근무표(입력)'!Y16</f>
        <v>0</v>
      </c>
      <c r="Z36" s="127"/>
      <c r="AA36" s="128"/>
    </row>
    <row r="37" spans="1:27" ht="20.25" x14ac:dyDescent="0.35">
      <c r="A37" s="129"/>
      <c r="B37" s="130"/>
      <c r="C37" s="131"/>
      <c r="D37" s="8"/>
      <c r="E37" s="129"/>
      <c r="F37" s="130"/>
      <c r="G37" s="131"/>
      <c r="H37" s="8"/>
      <c r="I37" s="129"/>
      <c r="J37" s="130"/>
      <c r="K37" s="131"/>
      <c r="L37" s="8"/>
      <c r="M37" s="129"/>
      <c r="N37" s="130"/>
      <c r="O37" s="131"/>
      <c r="P37" s="8"/>
      <c r="Q37" s="129"/>
      <c r="R37" s="130"/>
      <c r="S37" s="131"/>
      <c r="T37" s="8"/>
      <c r="U37" s="129"/>
      <c r="V37" s="130"/>
      <c r="W37" s="131"/>
      <c r="X37" s="8"/>
      <c r="Y37" s="129"/>
      <c r="Z37" s="130"/>
      <c r="AA37" s="131"/>
    </row>
    <row r="38" spans="1:27" x14ac:dyDescent="0.3">
      <c r="A38" s="9">
        <f>A3</f>
        <v>46054</v>
      </c>
      <c r="B38" s="7" t="str">
        <f>TEXT(A38, "aaa")</f>
        <v>일</v>
      </c>
      <c r="C38" s="10">
        <f>SUMIFS('근무표(입력)'!$F$3:$F$33, '근무표(입력)'!$C$3:$C$33, $A$36, '근무표(입력)'!$A$3:$A$33, $A38) + SUMIFS('근무표(입력)'!$J$3:$J$33, '근무표(입력)'!$G$3:$G$33, $A$36, '근무표(입력)'!$A$3:$A$33, $A3) + SUMIFS('근무표(입력)'!$N$3:$N$33, '근무표(입력)'!$K$3:$K$33, $A$36, '근무표(입력)'!$A$3:$A$33, $A3) + SUMIFS('근무표(입력)'!$R$3:$R$33, '근무표(입력)'!$O$3:$O$33, $A$36, '근무표(입력)'!$A$3:$A$33, $A3)</f>
        <v>0</v>
      </c>
      <c r="E38" s="9">
        <f>E3</f>
        <v>46054</v>
      </c>
      <c r="F38" s="7" t="str">
        <f>TEXT(E38, "aaa")</f>
        <v>일</v>
      </c>
      <c r="G38" s="10">
        <f>SUMIFS('근무표(입력)'!$F$3:$F$33, '근무표(입력)'!$C$3:$C$33, $E$36, '근무표(입력)'!$A$3:$A$33, $E38) + SUMIFS('근무표(입력)'!$J$3:$J$33, '근무표(입력)'!$G$3:$G$33, $E$36, '근무표(입력)'!$A$3:$A$33, $A3) + SUMIFS('근무표(입력)'!$N$3:$N$33, '근무표(입력)'!$K$3:$K$33, $E$36, '근무표(입력)'!$A$3:$A$33, $A3) + SUMIFS('근무표(입력)'!$R$3:$R$33, '근무표(입력)'!$O$3:$O$33, $E$36, '근무표(입력)'!$A$3:$A$33, $A3)</f>
        <v>0</v>
      </c>
      <c r="I38" s="9">
        <f>I3</f>
        <v>46054</v>
      </c>
      <c r="J38" s="7" t="str">
        <f>TEXT(I38, "aaa")</f>
        <v>일</v>
      </c>
      <c r="K38" s="10">
        <f>SUMIFS('근무표(입력)'!$F$3:$F$33, '근무표(입력)'!$C$3:$C$33, $I$36, '근무표(입력)'!$A$3:$A$33, $I38) + SUMIFS('근무표(입력)'!$J$3:$J$33, '근무표(입력)'!$G$3:$G$33, $I$36, '근무표(입력)'!$A$3:$A$33, $A3) + SUMIFS('근무표(입력)'!$N$3:$N$33, '근무표(입력)'!$K$3:$K$33, $I$36, '근무표(입력)'!$A$3:$A$33, $A3) + SUMIFS('근무표(입력)'!$R$3:$R$33, '근무표(입력)'!$O$3:$O$33, $I$36, '근무표(입력)'!$A$3:$A$33, $A3)</f>
        <v>0</v>
      </c>
      <c r="M38" s="9">
        <f>M3</f>
        <v>46054</v>
      </c>
      <c r="N38" s="7" t="str">
        <f>TEXT(M38, "aaa")</f>
        <v>일</v>
      </c>
      <c r="O38" s="10">
        <f>SUMIFS('근무표(입력)'!$F$3:$F$33, '근무표(입력)'!$C$3:$C$33, $M$36, '근무표(입력)'!$A$3:$A$33, $M38) + SUMIFS('근무표(입력)'!$J$3:$J$33, '근무표(입력)'!$G$3:$G$33, $M$36, '근무표(입력)'!$A$3:$A$33, $A3) + SUMIFS('근무표(입력)'!$N$3:$N$33, '근무표(입력)'!$K$3:$K$33, $M$36, '근무표(입력)'!$A$3:$A$33, $A3) + SUMIFS('근무표(입력)'!$R$3:$R$33, '근무표(입력)'!$O$3:$O$33, $M$36, '근무표(입력)'!$A$3:$A$33, $A3)</f>
        <v>0</v>
      </c>
      <c r="Q38" s="9">
        <f>Q3</f>
        <v>46054</v>
      </c>
      <c r="R38" s="7" t="str">
        <f>TEXT(Q38, "aaa")</f>
        <v>일</v>
      </c>
      <c r="S38" s="10">
        <f>SUMIFS('근무표(입력)'!$F$3:$F$33, '근무표(입력)'!$C$3:$C$33, $Q$36, '근무표(입력)'!$A$3:$A$33, $Q38) + SUMIFS('근무표(입력)'!$J$3:$J$33, '근무표(입력)'!$G$3:$G$33, $Q$36, '근무표(입력)'!$A$3:$A$33, $A3) + SUMIFS('근무표(입력)'!$N$3:$N$33, '근무표(입력)'!$K$3:$K$33, $Q$36, '근무표(입력)'!$A$3:$A$33, $A3) + SUMIFS('근무표(입력)'!$R$3:$R$33, '근무표(입력)'!$O$3:$O$33, $Q$36, '근무표(입력)'!$A$3:$A$33, $A3)</f>
        <v>0</v>
      </c>
      <c r="U38" s="9">
        <f>U3</f>
        <v>46054</v>
      </c>
      <c r="V38" s="7" t="str">
        <f>TEXT(U38, "aaa")</f>
        <v>일</v>
      </c>
      <c r="W38" s="10">
        <f>SUMIFS('근무표(입력)'!$F$3:$F$33, '근무표(입력)'!$C$3:$C$33, $U$36, '근무표(입력)'!$A$3:$A$33, $U38) + SUMIFS('근무표(입력)'!$J$3:$J$33, '근무표(입력)'!$G$3:$G$33, $U$36, '근무표(입력)'!$A$3:$A$33, $A3) + SUMIFS('근무표(입력)'!$N$3:$N$33, '근무표(입력)'!$K$3:$K$33, $U$36, '근무표(입력)'!$A$3:$A$33, $A3) + SUMIFS('근무표(입력)'!$R$3:$R$33, '근무표(입력)'!$O$3:$O$33, $U$36, '근무표(입력)'!$A$3:$A$33, $A3)</f>
        <v>0</v>
      </c>
      <c r="Y38" s="9">
        <f>Y3</f>
        <v>46054</v>
      </c>
      <c r="Z38" s="7" t="str">
        <f>TEXT(Y38, "aaa")</f>
        <v>일</v>
      </c>
      <c r="AA38" s="10">
        <f>SUMIFS('근무표(입력)'!$F$3:$F$33, '근무표(입력)'!$C$3:$C$33, $Y$36, '근무표(입력)'!$A$3:$A$33, $Y38) + SUMIFS('근무표(입력)'!$J$3:$J$33, '근무표(입력)'!$G$3:$G$33, $Y$36, '근무표(입력)'!$A$3:$A$33, $A3) + SUMIFS('근무표(입력)'!$N$3:$N$33, '근무표(입력)'!$K$3:$K$33, $Y$36, '근무표(입력)'!$A$3:$A$33, $A3) + SUMIFS('근무표(입력)'!$R$3:$R$33, '근무표(입력)'!$O$3:$O$33, $Y$36, '근무표(입력)'!$A$3:$A$33, $A3)</f>
        <v>0</v>
      </c>
    </row>
    <row r="39" spans="1:27" x14ac:dyDescent="0.3">
      <c r="A39" s="9">
        <f t="shared" ref="A39:A68" si="14">IF(A38="","",IF(MONTH(A38+1)&lt;&gt;MONTH($A$3),"",A38+1))</f>
        <v>46055</v>
      </c>
      <c r="B39" s="7" t="str">
        <f t="shared" ref="B39:B68" si="15">IF(A39="","",TEXT(A39, "aaa"))</f>
        <v>월</v>
      </c>
      <c r="C39" s="10">
        <f>SUMIFS('근무표(입력)'!$F$3:$F$33, '근무표(입력)'!$C$3:$C$33, $A$36, '근무표(입력)'!$A$3:$A$33, $A39) + SUMIFS('근무표(입력)'!$J$3:$J$33, '근무표(입력)'!$G$3:$G$33, $A$36, '근무표(입력)'!$A$3:$A$33, $A4) + SUMIFS('근무표(입력)'!$N$3:$N$33, '근무표(입력)'!$K$3:$K$33, $A$36, '근무표(입력)'!$A$3:$A$33, $A4) + SUMIFS('근무표(입력)'!$R$3:$R$33, '근무표(입력)'!$O$3:$O$33, $A$36, '근무표(입력)'!$A$3:$A$33, $A4)</f>
        <v>0</v>
      </c>
      <c r="E39" s="9">
        <f t="shared" ref="E39:E68" si="16">IF(E38="","",IF(MONTH(E38+1)&lt;&gt;MONTH($A$3),"",E38+1))</f>
        <v>46055</v>
      </c>
      <c r="F39" s="7" t="str">
        <f t="shared" ref="F39:F68" si="17">IF(E39="","",TEXT(E39, "aaa"))</f>
        <v>월</v>
      </c>
      <c r="G39" s="10">
        <f>SUMIFS('근무표(입력)'!$F$3:$F$33, '근무표(입력)'!$C$3:$C$33, $E$36, '근무표(입력)'!$A$3:$A$33, $E39) + SUMIFS('근무표(입력)'!$J$3:$J$33, '근무표(입력)'!$G$3:$G$33, $E$36, '근무표(입력)'!$A$3:$A$33, $A4) + SUMIFS('근무표(입력)'!$N$3:$N$33, '근무표(입력)'!$K$3:$K$33, $E$36, '근무표(입력)'!$A$3:$A$33, $A4) + SUMIFS('근무표(입력)'!$R$3:$R$33, '근무표(입력)'!$O$3:$O$33, $E$36, '근무표(입력)'!$A$3:$A$33, $A4)</f>
        <v>0</v>
      </c>
      <c r="I39" s="9">
        <f t="shared" ref="I39:I68" si="18">IF(I38="","",IF(MONTH(I38+1)&lt;&gt;MONTH($A$3),"",I38+1))</f>
        <v>46055</v>
      </c>
      <c r="J39" s="7" t="str">
        <f t="shared" ref="J39:J68" si="19">IF(I39="","",TEXT(I39, "aaa"))</f>
        <v>월</v>
      </c>
      <c r="K39" s="10">
        <f>SUMIFS('근무표(입력)'!$F$3:$F$33, '근무표(입력)'!$C$3:$C$33, $I$36, '근무표(입력)'!$A$3:$A$33, $I39) + SUMIFS('근무표(입력)'!$J$3:$J$33, '근무표(입력)'!$G$3:$G$33, $I$36, '근무표(입력)'!$A$3:$A$33, $A4) + SUMIFS('근무표(입력)'!$N$3:$N$33, '근무표(입력)'!$K$3:$K$33, $I$36, '근무표(입력)'!$A$3:$A$33, $A4) + SUMIFS('근무표(입력)'!$R$3:$R$33, '근무표(입력)'!$O$3:$O$33, $I$36, '근무표(입력)'!$A$3:$A$33, $A4)</f>
        <v>0</v>
      </c>
      <c r="M39" s="9">
        <f t="shared" ref="M39:M68" si="20">IF(M38="","",IF(MONTH(M38+1)&lt;&gt;MONTH($A$3),"",M38+1))</f>
        <v>46055</v>
      </c>
      <c r="N39" s="7" t="str">
        <f t="shared" ref="N39:N68" si="21">IF(M39="","",TEXT(M39, "aaa"))</f>
        <v>월</v>
      </c>
      <c r="O39" s="10">
        <f>SUMIFS('근무표(입력)'!$F$3:$F$33, '근무표(입력)'!$C$3:$C$33, $M$36, '근무표(입력)'!$A$3:$A$33, $M39) + SUMIFS('근무표(입력)'!$J$3:$J$33, '근무표(입력)'!$G$3:$G$33, $M$36, '근무표(입력)'!$A$3:$A$33, $A4) + SUMIFS('근무표(입력)'!$N$3:$N$33, '근무표(입력)'!$K$3:$K$33, $M$36, '근무표(입력)'!$A$3:$A$33, $A4) + SUMIFS('근무표(입력)'!$R$3:$R$33, '근무표(입력)'!$O$3:$O$33, $M$36, '근무표(입력)'!$A$3:$A$33, $A4)</f>
        <v>0</v>
      </c>
      <c r="Q39" s="9">
        <f t="shared" ref="Q39:Q68" si="22">IF(Q38="","",IF(MONTH(Q38+1)&lt;&gt;MONTH($A$3),"",Q38+1))</f>
        <v>46055</v>
      </c>
      <c r="R39" s="7" t="str">
        <f t="shared" ref="R39:R68" si="23">IF(Q39="","",TEXT(Q39, "aaa"))</f>
        <v>월</v>
      </c>
      <c r="S39" s="10">
        <f>SUMIFS('근무표(입력)'!$F$3:$F$33, '근무표(입력)'!$C$3:$C$33, $Q$36, '근무표(입력)'!$A$3:$A$33, $Q39) + SUMIFS('근무표(입력)'!$J$3:$J$33, '근무표(입력)'!$G$3:$G$33, $Q$36, '근무표(입력)'!$A$3:$A$33, $A4) + SUMIFS('근무표(입력)'!$N$3:$N$33, '근무표(입력)'!$K$3:$K$33, $Q$36, '근무표(입력)'!$A$3:$A$33, $A4) + SUMIFS('근무표(입력)'!$R$3:$R$33, '근무표(입력)'!$O$3:$O$33, $Q$36, '근무표(입력)'!$A$3:$A$33, $A4)</f>
        <v>0</v>
      </c>
      <c r="U39" s="9">
        <f t="shared" ref="U39:U68" si="24">IF(U38="","",IF(MONTH(U38+1)&lt;&gt;MONTH($A$3),"",U38+1))</f>
        <v>46055</v>
      </c>
      <c r="V39" s="7" t="str">
        <f t="shared" ref="V39:V68" si="25">IF(U39="","",TEXT(U39, "aaa"))</f>
        <v>월</v>
      </c>
      <c r="W39" s="10">
        <f>SUMIFS('근무표(입력)'!$F$3:$F$33, '근무표(입력)'!$C$3:$C$33, $U$36, '근무표(입력)'!$A$3:$A$33, $U39) + SUMIFS('근무표(입력)'!$J$3:$J$33, '근무표(입력)'!$G$3:$G$33, $U$36, '근무표(입력)'!$A$3:$A$33, $A4) + SUMIFS('근무표(입력)'!$N$3:$N$33, '근무표(입력)'!$K$3:$K$33, $U$36, '근무표(입력)'!$A$3:$A$33, $A4) + SUMIFS('근무표(입력)'!$R$3:$R$33, '근무표(입력)'!$O$3:$O$33, $U$36, '근무표(입력)'!$A$3:$A$33, $A4)</f>
        <v>0</v>
      </c>
      <c r="Y39" s="9">
        <f t="shared" ref="Y39:Y68" si="26">IF(Y38="","",IF(MONTH(Y38+1)&lt;&gt;MONTH($A$3),"",Y38+1))</f>
        <v>46055</v>
      </c>
      <c r="Z39" s="7" t="str">
        <f t="shared" ref="Z39:Z68" si="27">IF(Y39="","",TEXT(Y39, "aaa"))</f>
        <v>월</v>
      </c>
      <c r="AA39" s="10">
        <f>SUMIFS('근무표(입력)'!$F$3:$F$33, '근무표(입력)'!$C$3:$C$33, $Y$36, '근무표(입력)'!$A$3:$A$33, $Y39) + SUMIFS('근무표(입력)'!$J$3:$J$33, '근무표(입력)'!$G$3:$G$33, $Y$36, '근무표(입력)'!$A$3:$A$33, $A4) + SUMIFS('근무표(입력)'!$N$3:$N$33, '근무표(입력)'!$K$3:$K$33, $Y$36, '근무표(입력)'!$A$3:$A$33, $A4) + SUMIFS('근무표(입력)'!$R$3:$R$33, '근무표(입력)'!$O$3:$O$33, $Y$36, '근무표(입력)'!$A$3:$A$33, $A4)</f>
        <v>0</v>
      </c>
    </row>
    <row r="40" spans="1:27" x14ac:dyDescent="0.3">
      <c r="A40" s="9">
        <f t="shared" si="14"/>
        <v>46056</v>
      </c>
      <c r="B40" s="7" t="str">
        <f t="shared" si="15"/>
        <v>화</v>
      </c>
      <c r="C40" s="10">
        <f>SUMIFS('근무표(입력)'!$F$3:$F$33, '근무표(입력)'!$C$3:$C$33, $A$36, '근무표(입력)'!$A$3:$A$33, $A40) + SUMIFS('근무표(입력)'!$J$3:$J$33, '근무표(입력)'!$G$3:$G$33, $A$36, '근무표(입력)'!$A$3:$A$33, $A5) + SUMIFS('근무표(입력)'!$N$3:$N$33, '근무표(입력)'!$K$3:$K$33, $A$36, '근무표(입력)'!$A$3:$A$33, $A5) + SUMIFS('근무표(입력)'!$R$3:$R$33, '근무표(입력)'!$O$3:$O$33, $A$36, '근무표(입력)'!$A$3:$A$33, $A5)</f>
        <v>0</v>
      </c>
      <c r="E40" s="9">
        <f t="shared" si="16"/>
        <v>46056</v>
      </c>
      <c r="F40" s="7" t="str">
        <f t="shared" si="17"/>
        <v>화</v>
      </c>
      <c r="G40" s="10">
        <f>SUMIFS('근무표(입력)'!$F$3:$F$33, '근무표(입력)'!$C$3:$C$33, $E$36, '근무표(입력)'!$A$3:$A$33, $E40) + SUMIFS('근무표(입력)'!$J$3:$J$33, '근무표(입력)'!$G$3:$G$33, $E$36, '근무표(입력)'!$A$3:$A$33, $A5) + SUMIFS('근무표(입력)'!$N$3:$N$33, '근무표(입력)'!$K$3:$K$33, $E$36, '근무표(입력)'!$A$3:$A$33, $A5) + SUMIFS('근무표(입력)'!$R$3:$R$33, '근무표(입력)'!$O$3:$O$33, $E$36, '근무표(입력)'!$A$3:$A$33, $A5)</f>
        <v>0</v>
      </c>
      <c r="I40" s="9">
        <f t="shared" si="18"/>
        <v>46056</v>
      </c>
      <c r="J40" s="7" t="str">
        <f t="shared" si="19"/>
        <v>화</v>
      </c>
      <c r="K40" s="10">
        <f>SUMIFS('근무표(입력)'!$F$3:$F$33, '근무표(입력)'!$C$3:$C$33, $I$36, '근무표(입력)'!$A$3:$A$33, $I40) + SUMIFS('근무표(입력)'!$J$3:$J$33, '근무표(입력)'!$G$3:$G$33, $I$36, '근무표(입력)'!$A$3:$A$33, $A5) + SUMIFS('근무표(입력)'!$N$3:$N$33, '근무표(입력)'!$K$3:$K$33, $I$36, '근무표(입력)'!$A$3:$A$33, $A5) + SUMIFS('근무표(입력)'!$R$3:$R$33, '근무표(입력)'!$O$3:$O$33, $I$36, '근무표(입력)'!$A$3:$A$33, $A5)</f>
        <v>0</v>
      </c>
      <c r="M40" s="9">
        <f t="shared" si="20"/>
        <v>46056</v>
      </c>
      <c r="N40" s="7" t="str">
        <f t="shared" si="21"/>
        <v>화</v>
      </c>
      <c r="O40" s="10">
        <f>SUMIFS('근무표(입력)'!$F$3:$F$33, '근무표(입력)'!$C$3:$C$33, $M$36, '근무표(입력)'!$A$3:$A$33, $M40) + SUMIFS('근무표(입력)'!$J$3:$J$33, '근무표(입력)'!$G$3:$G$33, $M$36, '근무표(입력)'!$A$3:$A$33, $A5) + SUMIFS('근무표(입력)'!$N$3:$N$33, '근무표(입력)'!$K$3:$K$33, $M$36, '근무표(입력)'!$A$3:$A$33, $A5) + SUMIFS('근무표(입력)'!$R$3:$R$33, '근무표(입력)'!$O$3:$O$33, $M$36, '근무표(입력)'!$A$3:$A$33, $A5)</f>
        <v>0</v>
      </c>
      <c r="Q40" s="9">
        <f t="shared" si="22"/>
        <v>46056</v>
      </c>
      <c r="R40" s="7" t="str">
        <f t="shared" si="23"/>
        <v>화</v>
      </c>
      <c r="S40" s="10">
        <f>SUMIFS('근무표(입력)'!$F$3:$F$33, '근무표(입력)'!$C$3:$C$33, $Q$36, '근무표(입력)'!$A$3:$A$33, $Q40) + SUMIFS('근무표(입력)'!$J$3:$J$33, '근무표(입력)'!$G$3:$G$33, $Q$36, '근무표(입력)'!$A$3:$A$33, $A5) + SUMIFS('근무표(입력)'!$N$3:$N$33, '근무표(입력)'!$K$3:$K$33, $Q$36, '근무표(입력)'!$A$3:$A$33, $A5) + SUMIFS('근무표(입력)'!$R$3:$R$33, '근무표(입력)'!$O$3:$O$33, $Q$36, '근무표(입력)'!$A$3:$A$33, $A5)</f>
        <v>0</v>
      </c>
      <c r="U40" s="9">
        <f t="shared" si="24"/>
        <v>46056</v>
      </c>
      <c r="V40" s="7" t="str">
        <f t="shared" si="25"/>
        <v>화</v>
      </c>
      <c r="W40" s="10">
        <f>SUMIFS('근무표(입력)'!$F$3:$F$33, '근무표(입력)'!$C$3:$C$33, $U$36, '근무표(입력)'!$A$3:$A$33, $U40) + SUMIFS('근무표(입력)'!$J$3:$J$33, '근무표(입력)'!$G$3:$G$33, $U$36, '근무표(입력)'!$A$3:$A$33, $A5) + SUMIFS('근무표(입력)'!$N$3:$N$33, '근무표(입력)'!$K$3:$K$33, $U$36, '근무표(입력)'!$A$3:$A$33, $A5) + SUMIFS('근무표(입력)'!$R$3:$R$33, '근무표(입력)'!$O$3:$O$33, $U$36, '근무표(입력)'!$A$3:$A$33, $A5)</f>
        <v>0</v>
      </c>
      <c r="Y40" s="9">
        <f t="shared" si="26"/>
        <v>46056</v>
      </c>
      <c r="Z40" s="7" t="str">
        <f t="shared" si="27"/>
        <v>화</v>
      </c>
      <c r="AA40" s="10">
        <f>SUMIFS('근무표(입력)'!$F$3:$F$33, '근무표(입력)'!$C$3:$C$33, $Y$36, '근무표(입력)'!$A$3:$A$33, $Y40) + SUMIFS('근무표(입력)'!$J$3:$J$33, '근무표(입력)'!$G$3:$G$33, $Y$36, '근무표(입력)'!$A$3:$A$33, $A5) + SUMIFS('근무표(입력)'!$N$3:$N$33, '근무표(입력)'!$K$3:$K$33, $Y$36, '근무표(입력)'!$A$3:$A$33, $A5) + SUMIFS('근무표(입력)'!$R$3:$R$33, '근무표(입력)'!$O$3:$O$33, $Y$36, '근무표(입력)'!$A$3:$A$33, $A5)</f>
        <v>0</v>
      </c>
    </row>
    <row r="41" spans="1:27" x14ac:dyDescent="0.3">
      <c r="A41" s="9">
        <f t="shared" si="14"/>
        <v>46057</v>
      </c>
      <c r="B41" s="7" t="str">
        <f t="shared" si="15"/>
        <v>수</v>
      </c>
      <c r="C41" s="10">
        <f>SUMIFS('근무표(입력)'!$F$3:$F$33, '근무표(입력)'!$C$3:$C$33, $A$36, '근무표(입력)'!$A$3:$A$33, $A41) + SUMIFS('근무표(입력)'!$J$3:$J$33, '근무표(입력)'!$G$3:$G$33, $A$36, '근무표(입력)'!$A$3:$A$33, $A6) + SUMIFS('근무표(입력)'!$N$3:$N$33, '근무표(입력)'!$K$3:$K$33, $A$36, '근무표(입력)'!$A$3:$A$33, $A6) + SUMIFS('근무표(입력)'!$R$3:$R$33, '근무표(입력)'!$O$3:$O$33, $A$36, '근무표(입력)'!$A$3:$A$33, $A6)</f>
        <v>0</v>
      </c>
      <c r="E41" s="9">
        <f t="shared" si="16"/>
        <v>46057</v>
      </c>
      <c r="F41" s="7" t="str">
        <f t="shared" si="17"/>
        <v>수</v>
      </c>
      <c r="G41" s="10">
        <f>SUMIFS('근무표(입력)'!$F$3:$F$33, '근무표(입력)'!$C$3:$C$33, $E$36, '근무표(입력)'!$A$3:$A$33, $E41) + SUMIFS('근무표(입력)'!$J$3:$J$33, '근무표(입력)'!$G$3:$G$33, $E$36, '근무표(입력)'!$A$3:$A$33, $A6) + SUMIFS('근무표(입력)'!$N$3:$N$33, '근무표(입력)'!$K$3:$K$33, $E$36, '근무표(입력)'!$A$3:$A$33, $A6) + SUMIFS('근무표(입력)'!$R$3:$R$33, '근무표(입력)'!$O$3:$O$33, $E$36, '근무표(입력)'!$A$3:$A$33, $A6)</f>
        <v>0</v>
      </c>
      <c r="I41" s="9">
        <f t="shared" si="18"/>
        <v>46057</v>
      </c>
      <c r="J41" s="7" t="str">
        <f t="shared" si="19"/>
        <v>수</v>
      </c>
      <c r="K41" s="10">
        <f>SUMIFS('근무표(입력)'!$F$3:$F$33, '근무표(입력)'!$C$3:$C$33, $I$36, '근무표(입력)'!$A$3:$A$33, $I41) + SUMIFS('근무표(입력)'!$J$3:$J$33, '근무표(입력)'!$G$3:$G$33, $I$36, '근무표(입력)'!$A$3:$A$33, $A6) + SUMIFS('근무표(입력)'!$N$3:$N$33, '근무표(입력)'!$K$3:$K$33, $I$36, '근무표(입력)'!$A$3:$A$33, $A6) + SUMIFS('근무표(입력)'!$R$3:$R$33, '근무표(입력)'!$O$3:$O$33, $I$36, '근무표(입력)'!$A$3:$A$33, $A6)</f>
        <v>0</v>
      </c>
      <c r="M41" s="9">
        <f t="shared" si="20"/>
        <v>46057</v>
      </c>
      <c r="N41" s="7" t="str">
        <f t="shared" si="21"/>
        <v>수</v>
      </c>
      <c r="O41" s="10">
        <f>SUMIFS('근무표(입력)'!$F$3:$F$33, '근무표(입력)'!$C$3:$C$33, $M$36, '근무표(입력)'!$A$3:$A$33, $M41) + SUMIFS('근무표(입력)'!$J$3:$J$33, '근무표(입력)'!$G$3:$G$33, $M$36, '근무표(입력)'!$A$3:$A$33, $A6) + SUMIFS('근무표(입력)'!$N$3:$N$33, '근무표(입력)'!$K$3:$K$33, $M$36, '근무표(입력)'!$A$3:$A$33, $A6) + SUMIFS('근무표(입력)'!$R$3:$R$33, '근무표(입력)'!$O$3:$O$33, $M$36, '근무표(입력)'!$A$3:$A$33, $A6)</f>
        <v>0</v>
      </c>
      <c r="Q41" s="9">
        <f t="shared" si="22"/>
        <v>46057</v>
      </c>
      <c r="R41" s="7" t="str">
        <f t="shared" si="23"/>
        <v>수</v>
      </c>
      <c r="S41" s="10">
        <f>SUMIFS('근무표(입력)'!$F$3:$F$33, '근무표(입력)'!$C$3:$C$33, $Q$36, '근무표(입력)'!$A$3:$A$33, $Q41) + SUMIFS('근무표(입력)'!$J$3:$J$33, '근무표(입력)'!$G$3:$G$33, $Q$36, '근무표(입력)'!$A$3:$A$33, $A6) + SUMIFS('근무표(입력)'!$N$3:$N$33, '근무표(입력)'!$K$3:$K$33, $Q$36, '근무표(입력)'!$A$3:$A$33, $A6) + SUMIFS('근무표(입력)'!$R$3:$R$33, '근무표(입력)'!$O$3:$O$33, $Q$36, '근무표(입력)'!$A$3:$A$33, $A6)</f>
        <v>0</v>
      </c>
      <c r="U41" s="9">
        <f t="shared" si="24"/>
        <v>46057</v>
      </c>
      <c r="V41" s="7" t="str">
        <f t="shared" si="25"/>
        <v>수</v>
      </c>
      <c r="W41" s="10">
        <f>SUMIFS('근무표(입력)'!$F$3:$F$33, '근무표(입력)'!$C$3:$C$33, $U$36, '근무표(입력)'!$A$3:$A$33, $U41) + SUMIFS('근무표(입력)'!$J$3:$J$33, '근무표(입력)'!$G$3:$G$33, $U$36, '근무표(입력)'!$A$3:$A$33, $A6) + SUMIFS('근무표(입력)'!$N$3:$N$33, '근무표(입력)'!$K$3:$K$33, $U$36, '근무표(입력)'!$A$3:$A$33, $A6) + SUMIFS('근무표(입력)'!$R$3:$R$33, '근무표(입력)'!$O$3:$O$33, $U$36, '근무표(입력)'!$A$3:$A$33, $A6)</f>
        <v>0</v>
      </c>
      <c r="Y41" s="9">
        <f t="shared" si="26"/>
        <v>46057</v>
      </c>
      <c r="Z41" s="7" t="str">
        <f t="shared" si="27"/>
        <v>수</v>
      </c>
      <c r="AA41" s="10">
        <f>SUMIFS('근무표(입력)'!$F$3:$F$33, '근무표(입력)'!$C$3:$C$33, $Y$36, '근무표(입력)'!$A$3:$A$33, $Y41) + SUMIFS('근무표(입력)'!$J$3:$J$33, '근무표(입력)'!$G$3:$G$33, $Y$36, '근무표(입력)'!$A$3:$A$33, $A6) + SUMIFS('근무표(입력)'!$N$3:$N$33, '근무표(입력)'!$K$3:$K$33, $Y$36, '근무표(입력)'!$A$3:$A$33, $A6) + SUMIFS('근무표(입력)'!$R$3:$R$33, '근무표(입력)'!$O$3:$O$33, $Y$36, '근무표(입력)'!$A$3:$A$33, $A6)</f>
        <v>0</v>
      </c>
    </row>
    <row r="42" spans="1:27" x14ac:dyDescent="0.3">
      <c r="A42" s="9">
        <f t="shared" si="14"/>
        <v>46058</v>
      </c>
      <c r="B42" s="7" t="str">
        <f t="shared" si="15"/>
        <v>목</v>
      </c>
      <c r="C42" s="10">
        <f>SUMIFS('근무표(입력)'!$F$3:$F$33, '근무표(입력)'!$C$3:$C$33, $A$36, '근무표(입력)'!$A$3:$A$33, $A42) + SUMIFS('근무표(입력)'!$J$3:$J$33, '근무표(입력)'!$G$3:$G$33, $A$36, '근무표(입력)'!$A$3:$A$33, $A7) + SUMIFS('근무표(입력)'!$N$3:$N$33, '근무표(입력)'!$K$3:$K$33, $A$36, '근무표(입력)'!$A$3:$A$33, $A7) + SUMIFS('근무표(입력)'!$R$3:$R$33, '근무표(입력)'!$O$3:$O$33, $A$36, '근무표(입력)'!$A$3:$A$33, $A7)</f>
        <v>0</v>
      </c>
      <c r="E42" s="9">
        <f t="shared" si="16"/>
        <v>46058</v>
      </c>
      <c r="F42" s="7" t="str">
        <f t="shared" si="17"/>
        <v>목</v>
      </c>
      <c r="G42" s="10">
        <f>SUMIFS('근무표(입력)'!$F$3:$F$33, '근무표(입력)'!$C$3:$C$33, $E$36, '근무표(입력)'!$A$3:$A$33, $E42) + SUMIFS('근무표(입력)'!$J$3:$J$33, '근무표(입력)'!$G$3:$G$33, $E$36, '근무표(입력)'!$A$3:$A$33, $A7) + SUMIFS('근무표(입력)'!$N$3:$N$33, '근무표(입력)'!$K$3:$K$33, $E$36, '근무표(입력)'!$A$3:$A$33, $A7) + SUMIFS('근무표(입력)'!$R$3:$R$33, '근무표(입력)'!$O$3:$O$33, $E$36, '근무표(입력)'!$A$3:$A$33, $A7)</f>
        <v>0</v>
      </c>
      <c r="I42" s="9">
        <f t="shared" si="18"/>
        <v>46058</v>
      </c>
      <c r="J42" s="7" t="str">
        <f t="shared" si="19"/>
        <v>목</v>
      </c>
      <c r="K42" s="10">
        <f>SUMIFS('근무표(입력)'!$F$3:$F$33, '근무표(입력)'!$C$3:$C$33, $I$36, '근무표(입력)'!$A$3:$A$33, $I42) + SUMIFS('근무표(입력)'!$J$3:$J$33, '근무표(입력)'!$G$3:$G$33, $I$36, '근무표(입력)'!$A$3:$A$33, $A7) + SUMIFS('근무표(입력)'!$N$3:$N$33, '근무표(입력)'!$K$3:$K$33, $I$36, '근무표(입력)'!$A$3:$A$33, $A7) + SUMIFS('근무표(입력)'!$R$3:$R$33, '근무표(입력)'!$O$3:$O$33, $I$36, '근무표(입력)'!$A$3:$A$33, $A7)</f>
        <v>0</v>
      </c>
      <c r="M42" s="9">
        <f t="shared" si="20"/>
        <v>46058</v>
      </c>
      <c r="N42" s="7" t="str">
        <f t="shared" si="21"/>
        <v>목</v>
      </c>
      <c r="O42" s="10">
        <f>SUMIFS('근무표(입력)'!$F$3:$F$33, '근무표(입력)'!$C$3:$C$33, $M$36, '근무표(입력)'!$A$3:$A$33, $M42) + SUMIFS('근무표(입력)'!$J$3:$J$33, '근무표(입력)'!$G$3:$G$33, $M$36, '근무표(입력)'!$A$3:$A$33, $A7) + SUMIFS('근무표(입력)'!$N$3:$N$33, '근무표(입력)'!$K$3:$K$33, $M$36, '근무표(입력)'!$A$3:$A$33, $A7) + SUMIFS('근무표(입력)'!$R$3:$R$33, '근무표(입력)'!$O$3:$O$33, $M$36, '근무표(입력)'!$A$3:$A$33, $A7)</f>
        <v>0</v>
      </c>
      <c r="Q42" s="9">
        <f t="shared" si="22"/>
        <v>46058</v>
      </c>
      <c r="R42" s="7" t="str">
        <f t="shared" si="23"/>
        <v>목</v>
      </c>
      <c r="S42" s="10">
        <f>SUMIFS('근무표(입력)'!$F$3:$F$33, '근무표(입력)'!$C$3:$C$33, $Q$36, '근무표(입력)'!$A$3:$A$33, $Q42) + SUMIFS('근무표(입력)'!$J$3:$J$33, '근무표(입력)'!$G$3:$G$33, $Q$36, '근무표(입력)'!$A$3:$A$33, $A7) + SUMIFS('근무표(입력)'!$N$3:$N$33, '근무표(입력)'!$K$3:$K$33, $Q$36, '근무표(입력)'!$A$3:$A$33, $A7) + SUMIFS('근무표(입력)'!$R$3:$R$33, '근무표(입력)'!$O$3:$O$33, $Q$36, '근무표(입력)'!$A$3:$A$33, $A7)</f>
        <v>0</v>
      </c>
      <c r="U42" s="9">
        <f t="shared" si="24"/>
        <v>46058</v>
      </c>
      <c r="V42" s="7" t="str">
        <f t="shared" si="25"/>
        <v>목</v>
      </c>
      <c r="W42" s="10">
        <f>SUMIFS('근무표(입력)'!$F$3:$F$33, '근무표(입력)'!$C$3:$C$33, $U$36, '근무표(입력)'!$A$3:$A$33, $U42) + SUMIFS('근무표(입력)'!$J$3:$J$33, '근무표(입력)'!$G$3:$G$33, $U$36, '근무표(입력)'!$A$3:$A$33, $A7) + SUMIFS('근무표(입력)'!$N$3:$N$33, '근무표(입력)'!$K$3:$K$33, $U$36, '근무표(입력)'!$A$3:$A$33, $A7) + SUMIFS('근무표(입력)'!$R$3:$R$33, '근무표(입력)'!$O$3:$O$33, $U$36, '근무표(입력)'!$A$3:$A$33, $A7)</f>
        <v>0</v>
      </c>
      <c r="Y42" s="9">
        <f t="shared" si="26"/>
        <v>46058</v>
      </c>
      <c r="Z42" s="7" t="str">
        <f t="shared" si="27"/>
        <v>목</v>
      </c>
      <c r="AA42" s="10">
        <f>SUMIFS('근무표(입력)'!$F$3:$F$33, '근무표(입력)'!$C$3:$C$33, $Y$36, '근무표(입력)'!$A$3:$A$33, $Y42) + SUMIFS('근무표(입력)'!$J$3:$J$33, '근무표(입력)'!$G$3:$G$33, $Y$36, '근무표(입력)'!$A$3:$A$33, $A7) + SUMIFS('근무표(입력)'!$N$3:$N$33, '근무표(입력)'!$K$3:$K$33, $Y$36, '근무표(입력)'!$A$3:$A$33, $A7) + SUMIFS('근무표(입력)'!$R$3:$R$33, '근무표(입력)'!$O$3:$O$33, $Y$36, '근무표(입력)'!$A$3:$A$33, $A7)</f>
        <v>0</v>
      </c>
    </row>
    <row r="43" spans="1:27" x14ac:dyDescent="0.3">
      <c r="A43" s="9">
        <f t="shared" si="14"/>
        <v>46059</v>
      </c>
      <c r="B43" s="7" t="str">
        <f t="shared" si="15"/>
        <v>금</v>
      </c>
      <c r="C43" s="10">
        <f>SUMIFS('근무표(입력)'!$F$3:$F$33, '근무표(입력)'!$C$3:$C$33, $A$36, '근무표(입력)'!$A$3:$A$33, $A43) + SUMIFS('근무표(입력)'!$J$3:$J$33, '근무표(입력)'!$G$3:$G$33, $A$36, '근무표(입력)'!$A$3:$A$33, $A8) + SUMIFS('근무표(입력)'!$N$3:$N$33, '근무표(입력)'!$K$3:$K$33, $A$36, '근무표(입력)'!$A$3:$A$33, $A8) + SUMIFS('근무표(입력)'!$R$3:$R$33, '근무표(입력)'!$O$3:$O$33, $A$36, '근무표(입력)'!$A$3:$A$33, $A8)</f>
        <v>0</v>
      </c>
      <c r="E43" s="9">
        <f t="shared" si="16"/>
        <v>46059</v>
      </c>
      <c r="F43" s="7" t="str">
        <f t="shared" si="17"/>
        <v>금</v>
      </c>
      <c r="G43" s="10">
        <f>SUMIFS('근무표(입력)'!$F$3:$F$33, '근무표(입력)'!$C$3:$C$33, $E$36, '근무표(입력)'!$A$3:$A$33, $E43) + SUMIFS('근무표(입력)'!$J$3:$J$33, '근무표(입력)'!$G$3:$G$33, $E$36, '근무표(입력)'!$A$3:$A$33, $A8) + SUMIFS('근무표(입력)'!$N$3:$N$33, '근무표(입력)'!$K$3:$K$33, $E$36, '근무표(입력)'!$A$3:$A$33, $A8) + SUMIFS('근무표(입력)'!$R$3:$R$33, '근무표(입력)'!$O$3:$O$33, $E$36, '근무표(입력)'!$A$3:$A$33, $A8)</f>
        <v>0</v>
      </c>
      <c r="I43" s="9">
        <f t="shared" si="18"/>
        <v>46059</v>
      </c>
      <c r="J43" s="7" t="str">
        <f t="shared" si="19"/>
        <v>금</v>
      </c>
      <c r="K43" s="10">
        <f>SUMIFS('근무표(입력)'!$F$3:$F$33, '근무표(입력)'!$C$3:$C$33, $I$36, '근무표(입력)'!$A$3:$A$33, $I43) + SUMIFS('근무표(입력)'!$J$3:$J$33, '근무표(입력)'!$G$3:$G$33, $I$36, '근무표(입력)'!$A$3:$A$33, $A8) + SUMIFS('근무표(입력)'!$N$3:$N$33, '근무표(입력)'!$K$3:$K$33, $I$36, '근무표(입력)'!$A$3:$A$33, $A8) + SUMIFS('근무표(입력)'!$R$3:$R$33, '근무표(입력)'!$O$3:$O$33, $I$36, '근무표(입력)'!$A$3:$A$33, $A8)</f>
        <v>0</v>
      </c>
      <c r="M43" s="9">
        <f t="shared" si="20"/>
        <v>46059</v>
      </c>
      <c r="N43" s="7" t="str">
        <f t="shared" si="21"/>
        <v>금</v>
      </c>
      <c r="O43" s="10">
        <f>SUMIFS('근무표(입력)'!$F$3:$F$33, '근무표(입력)'!$C$3:$C$33, $M$36, '근무표(입력)'!$A$3:$A$33, $M43) + SUMIFS('근무표(입력)'!$J$3:$J$33, '근무표(입력)'!$G$3:$G$33, $M$36, '근무표(입력)'!$A$3:$A$33, $A8) + SUMIFS('근무표(입력)'!$N$3:$N$33, '근무표(입력)'!$K$3:$K$33, $M$36, '근무표(입력)'!$A$3:$A$33, $A8) + SUMIFS('근무표(입력)'!$R$3:$R$33, '근무표(입력)'!$O$3:$O$33, $M$36, '근무표(입력)'!$A$3:$A$33, $A8)</f>
        <v>0</v>
      </c>
      <c r="Q43" s="9">
        <f t="shared" si="22"/>
        <v>46059</v>
      </c>
      <c r="R43" s="7" t="str">
        <f t="shared" si="23"/>
        <v>금</v>
      </c>
      <c r="S43" s="10">
        <f>SUMIFS('근무표(입력)'!$F$3:$F$33, '근무표(입력)'!$C$3:$C$33, $Q$36, '근무표(입력)'!$A$3:$A$33, $Q43) + SUMIFS('근무표(입력)'!$J$3:$J$33, '근무표(입력)'!$G$3:$G$33, $Q$36, '근무표(입력)'!$A$3:$A$33, $A8) + SUMIFS('근무표(입력)'!$N$3:$N$33, '근무표(입력)'!$K$3:$K$33, $Q$36, '근무표(입력)'!$A$3:$A$33, $A8) + SUMIFS('근무표(입력)'!$R$3:$R$33, '근무표(입력)'!$O$3:$O$33, $Q$36, '근무표(입력)'!$A$3:$A$33, $A8)</f>
        <v>0</v>
      </c>
      <c r="U43" s="9">
        <f t="shared" si="24"/>
        <v>46059</v>
      </c>
      <c r="V43" s="7" t="str">
        <f t="shared" si="25"/>
        <v>금</v>
      </c>
      <c r="W43" s="10">
        <f>SUMIFS('근무표(입력)'!$F$3:$F$33, '근무표(입력)'!$C$3:$C$33, $U$36, '근무표(입력)'!$A$3:$A$33, $U43) + SUMIFS('근무표(입력)'!$J$3:$J$33, '근무표(입력)'!$G$3:$G$33, $U$36, '근무표(입력)'!$A$3:$A$33, $A8) + SUMIFS('근무표(입력)'!$N$3:$N$33, '근무표(입력)'!$K$3:$K$33, $U$36, '근무표(입력)'!$A$3:$A$33, $A8) + SUMIFS('근무표(입력)'!$R$3:$R$33, '근무표(입력)'!$O$3:$O$33, $U$36, '근무표(입력)'!$A$3:$A$33, $A8)</f>
        <v>0</v>
      </c>
      <c r="Y43" s="9">
        <f t="shared" si="26"/>
        <v>46059</v>
      </c>
      <c r="Z43" s="7" t="str">
        <f t="shared" si="27"/>
        <v>금</v>
      </c>
      <c r="AA43" s="10">
        <f>SUMIFS('근무표(입력)'!$F$3:$F$33, '근무표(입력)'!$C$3:$C$33, $Y$36, '근무표(입력)'!$A$3:$A$33, $Y43) + SUMIFS('근무표(입력)'!$J$3:$J$33, '근무표(입력)'!$G$3:$G$33, $Y$36, '근무표(입력)'!$A$3:$A$33, $A8) + SUMIFS('근무표(입력)'!$N$3:$N$33, '근무표(입력)'!$K$3:$K$33, $Y$36, '근무표(입력)'!$A$3:$A$33, $A8) + SUMIFS('근무표(입력)'!$R$3:$R$33, '근무표(입력)'!$O$3:$O$33, $Y$36, '근무표(입력)'!$A$3:$A$33, $A8)</f>
        <v>0</v>
      </c>
    </row>
    <row r="44" spans="1:27" x14ac:dyDescent="0.3">
      <c r="A44" s="9">
        <f t="shared" si="14"/>
        <v>46060</v>
      </c>
      <c r="B44" s="7" t="str">
        <f t="shared" si="15"/>
        <v>토</v>
      </c>
      <c r="C44" s="10">
        <f>SUMIFS('근무표(입력)'!$F$3:$F$33, '근무표(입력)'!$C$3:$C$33, $A$36, '근무표(입력)'!$A$3:$A$33, $A44) + SUMIFS('근무표(입력)'!$J$3:$J$33, '근무표(입력)'!$G$3:$G$33, $A$36, '근무표(입력)'!$A$3:$A$33, $A9) + SUMIFS('근무표(입력)'!$N$3:$N$33, '근무표(입력)'!$K$3:$K$33, $A$36, '근무표(입력)'!$A$3:$A$33, $A9) + SUMIFS('근무표(입력)'!$R$3:$R$33, '근무표(입력)'!$O$3:$O$33, $A$36, '근무표(입력)'!$A$3:$A$33, $A9)</f>
        <v>0</v>
      </c>
      <c r="E44" s="9">
        <f t="shared" si="16"/>
        <v>46060</v>
      </c>
      <c r="F44" s="7" t="str">
        <f t="shared" si="17"/>
        <v>토</v>
      </c>
      <c r="G44" s="10">
        <f>SUMIFS('근무표(입력)'!$F$3:$F$33, '근무표(입력)'!$C$3:$C$33, $E$36, '근무표(입력)'!$A$3:$A$33, $E44) + SUMIFS('근무표(입력)'!$J$3:$J$33, '근무표(입력)'!$G$3:$G$33, $E$36, '근무표(입력)'!$A$3:$A$33, $A9) + SUMIFS('근무표(입력)'!$N$3:$N$33, '근무표(입력)'!$K$3:$K$33, $E$36, '근무표(입력)'!$A$3:$A$33, $A9) + SUMIFS('근무표(입력)'!$R$3:$R$33, '근무표(입력)'!$O$3:$O$33, $E$36, '근무표(입력)'!$A$3:$A$33, $A9)</f>
        <v>0</v>
      </c>
      <c r="I44" s="9">
        <f t="shared" si="18"/>
        <v>46060</v>
      </c>
      <c r="J44" s="7" t="str">
        <f t="shared" si="19"/>
        <v>토</v>
      </c>
      <c r="K44" s="10">
        <f>SUMIFS('근무표(입력)'!$F$3:$F$33, '근무표(입력)'!$C$3:$C$33, $I$36, '근무표(입력)'!$A$3:$A$33, $I44) + SUMIFS('근무표(입력)'!$J$3:$J$33, '근무표(입력)'!$G$3:$G$33, $I$36, '근무표(입력)'!$A$3:$A$33, $A9) + SUMIFS('근무표(입력)'!$N$3:$N$33, '근무표(입력)'!$K$3:$K$33, $I$36, '근무표(입력)'!$A$3:$A$33, $A9) + SUMIFS('근무표(입력)'!$R$3:$R$33, '근무표(입력)'!$O$3:$O$33, $I$36, '근무표(입력)'!$A$3:$A$33, $A9)</f>
        <v>0</v>
      </c>
      <c r="M44" s="9">
        <f t="shared" si="20"/>
        <v>46060</v>
      </c>
      <c r="N44" s="7" t="str">
        <f t="shared" si="21"/>
        <v>토</v>
      </c>
      <c r="O44" s="10">
        <f>SUMIFS('근무표(입력)'!$F$3:$F$33, '근무표(입력)'!$C$3:$C$33, $M$36, '근무표(입력)'!$A$3:$A$33, $M44) + SUMIFS('근무표(입력)'!$J$3:$J$33, '근무표(입력)'!$G$3:$G$33, $M$36, '근무표(입력)'!$A$3:$A$33, $A9) + SUMIFS('근무표(입력)'!$N$3:$N$33, '근무표(입력)'!$K$3:$K$33, $M$36, '근무표(입력)'!$A$3:$A$33, $A9) + SUMIFS('근무표(입력)'!$R$3:$R$33, '근무표(입력)'!$O$3:$O$33, $M$36, '근무표(입력)'!$A$3:$A$33, $A9)</f>
        <v>0</v>
      </c>
      <c r="Q44" s="9">
        <f t="shared" si="22"/>
        <v>46060</v>
      </c>
      <c r="R44" s="7" t="str">
        <f t="shared" si="23"/>
        <v>토</v>
      </c>
      <c r="S44" s="10">
        <f>SUMIFS('근무표(입력)'!$F$3:$F$33, '근무표(입력)'!$C$3:$C$33, $Q$36, '근무표(입력)'!$A$3:$A$33, $Q44) + SUMIFS('근무표(입력)'!$J$3:$J$33, '근무표(입력)'!$G$3:$G$33, $Q$36, '근무표(입력)'!$A$3:$A$33, $A9) + SUMIFS('근무표(입력)'!$N$3:$N$33, '근무표(입력)'!$K$3:$K$33, $Q$36, '근무표(입력)'!$A$3:$A$33, $A9) + SUMIFS('근무표(입력)'!$R$3:$R$33, '근무표(입력)'!$O$3:$O$33, $Q$36, '근무표(입력)'!$A$3:$A$33, $A9)</f>
        <v>0</v>
      </c>
      <c r="U44" s="9">
        <f t="shared" si="24"/>
        <v>46060</v>
      </c>
      <c r="V44" s="7" t="str">
        <f t="shared" si="25"/>
        <v>토</v>
      </c>
      <c r="W44" s="10">
        <f>SUMIFS('근무표(입력)'!$F$3:$F$33, '근무표(입력)'!$C$3:$C$33, $U$36, '근무표(입력)'!$A$3:$A$33, $U44) + SUMIFS('근무표(입력)'!$J$3:$J$33, '근무표(입력)'!$G$3:$G$33, $U$36, '근무표(입력)'!$A$3:$A$33, $A9) + SUMIFS('근무표(입력)'!$N$3:$N$33, '근무표(입력)'!$K$3:$K$33, $U$36, '근무표(입력)'!$A$3:$A$33, $A9) + SUMIFS('근무표(입력)'!$R$3:$R$33, '근무표(입력)'!$O$3:$O$33, $U$36, '근무표(입력)'!$A$3:$A$33, $A9)</f>
        <v>0</v>
      </c>
      <c r="Y44" s="9">
        <f t="shared" si="26"/>
        <v>46060</v>
      </c>
      <c r="Z44" s="7" t="str">
        <f t="shared" si="27"/>
        <v>토</v>
      </c>
      <c r="AA44" s="10">
        <f>SUMIFS('근무표(입력)'!$F$3:$F$33, '근무표(입력)'!$C$3:$C$33, $Y$36, '근무표(입력)'!$A$3:$A$33, $Y44) + SUMIFS('근무표(입력)'!$J$3:$J$33, '근무표(입력)'!$G$3:$G$33, $Y$36, '근무표(입력)'!$A$3:$A$33, $A9) + SUMIFS('근무표(입력)'!$N$3:$N$33, '근무표(입력)'!$K$3:$K$33, $Y$36, '근무표(입력)'!$A$3:$A$33, $A9) + SUMIFS('근무표(입력)'!$R$3:$R$33, '근무표(입력)'!$O$3:$O$33, $Y$36, '근무표(입력)'!$A$3:$A$33, $A9)</f>
        <v>0</v>
      </c>
    </row>
    <row r="45" spans="1:27" x14ac:dyDescent="0.3">
      <c r="A45" s="9">
        <f t="shared" si="14"/>
        <v>46061</v>
      </c>
      <c r="B45" s="7" t="str">
        <f t="shared" si="15"/>
        <v>일</v>
      </c>
      <c r="C45" s="10">
        <f>SUMIFS('근무표(입력)'!$F$3:$F$33, '근무표(입력)'!$C$3:$C$33, $A$36, '근무표(입력)'!$A$3:$A$33, $A45) + SUMIFS('근무표(입력)'!$J$3:$J$33, '근무표(입력)'!$G$3:$G$33, $A$36, '근무표(입력)'!$A$3:$A$33, $A10) + SUMIFS('근무표(입력)'!$N$3:$N$33, '근무표(입력)'!$K$3:$K$33, $A$36, '근무표(입력)'!$A$3:$A$33, $A10) + SUMIFS('근무표(입력)'!$R$3:$R$33, '근무표(입력)'!$O$3:$O$33, $A$36, '근무표(입력)'!$A$3:$A$33, $A10)</f>
        <v>0</v>
      </c>
      <c r="E45" s="9">
        <f t="shared" si="16"/>
        <v>46061</v>
      </c>
      <c r="F45" s="7" t="str">
        <f t="shared" si="17"/>
        <v>일</v>
      </c>
      <c r="G45" s="10">
        <f>SUMIFS('근무표(입력)'!$F$3:$F$33, '근무표(입력)'!$C$3:$C$33, $E$36, '근무표(입력)'!$A$3:$A$33, $E45) + SUMIFS('근무표(입력)'!$J$3:$J$33, '근무표(입력)'!$G$3:$G$33, $E$36, '근무표(입력)'!$A$3:$A$33, $A10) + SUMIFS('근무표(입력)'!$N$3:$N$33, '근무표(입력)'!$K$3:$K$33, $E$36, '근무표(입력)'!$A$3:$A$33, $A10) + SUMIFS('근무표(입력)'!$R$3:$R$33, '근무표(입력)'!$O$3:$O$33, $E$36, '근무표(입력)'!$A$3:$A$33, $A10)</f>
        <v>0</v>
      </c>
      <c r="I45" s="9">
        <f t="shared" si="18"/>
        <v>46061</v>
      </c>
      <c r="J45" s="7" t="str">
        <f t="shared" si="19"/>
        <v>일</v>
      </c>
      <c r="K45" s="10">
        <f>SUMIFS('근무표(입력)'!$F$3:$F$33, '근무표(입력)'!$C$3:$C$33, $I$36, '근무표(입력)'!$A$3:$A$33, $I45) + SUMIFS('근무표(입력)'!$J$3:$J$33, '근무표(입력)'!$G$3:$G$33, $I$36, '근무표(입력)'!$A$3:$A$33, $A10) + SUMIFS('근무표(입력)'!$N$3:$N$33, '근무표(입력)'!$K$3:$K$33, $I$36, '근무표(입력)'!$A$3:$A$33, $A10) + SUMIFS('근무표(입력)'!$R$3:$R$33, '근무표(입력)'!$O$3:$O$33, $I$36, '근무표(입력)'!$A$3:$A$33, $A10)</f>
        <v>0</v>
      </c>
      <c r="M45" s="9">
        <f t="shared" si="20"/>
        <v>46061</v>
      </c>
      <c r="N45" s="7" t="str">
        <f t="shared" si="21"/>
        <v>일</v>
      </c>
      <c r="O45" s="10">
        <f>SUMIFS('근무표(입력)'!$F$3:$F$33, '근무표(입력)'!$C$3:$C$33, $M$36, '근무표(입력)'!$A$3:$A$33, $M45) + SUMIFS('근무표(입력)'!$J$3:$J$33, '근무표(입력)'!$G$3:$G$33, $M$36, '근무표(입력)'!$A$3:$A$33, $A10) + SUMIFS('근무표(입력)'!$N$3:$N$33, '근무표(입력)'!$K$3:$K$33, $M$36, '근무표(입력)'!$A$3:$A$33, $A10) + SUMIFS('근무표(입력)'!$R$3:$R$33, '근무표(입력)'!$O$3:$O$33, $M$36, '근무표(입력)'!$A$3:$A$33, $A10)</f>
        <v>0</v>
      </c>
      <c r="Q45" s="9">
        <f t="shared" si="22"/>
        <v>46061</v>
      </c>
      <c r="R45" s="7" t="str">
        <f t="shared" si="23"/>
        <v>일</v>
      </c>
      <c r="S45" s="10">
        <f>SUMIFS('근무표(입력)'!$F$3:$F$33, '근무표(입력)'!$C$3:$C$33, $Q$36, '근무표(입력)'!$A$3:$A$33, $Q45) + SUMIFS('근무표(입력)'!$J$3:$J$33, '근무표(입력)'!$G$3:$G$33, $Q$36, '근무표(입력)'!$A$3:$A$33, $A10) + SUMIFS('근무표(입력)'!$N$3:$N$33, '근무표(입력)'!$K$3:$K$33, $Q$36, '근무표(입력)'!$A$3:$A$33, $A10) + SUMIFS('근무표(입력)'!$R$3:$R$33, '근무표(입력)'!$O$3:$O$33, $Q$36, '근무표(입력)'!$A$3:$A$33, $A10)</f>
        <v>0</v>
      </c>
      <c r="U45" s="9">
        <f t="shared" si="24"/>
        <v>46061</v>
      </c>
      <c r="V45" s="7" t="str">
        <f t="shared" si="25"/>
        <v>일</v>
      </c>
      <c r="W45" s="10">
        <f>SUMIFS('근무표(입력)'!$F$3:$F$33, '근무표(입력)'!$C$3:$C$33, $U$36, '근무표(입력)'!$A$3:$A$33, $U45) + SUMIFS('근무표(입력)'!$J$3:$J$33, '근무표(입력)'!$G$3:$G$33, $U$36, '근무표(입력)'!$A$3:$A$33, $A10) + SUMIFS('근무표(입력)'!$N$3:$N$33, '근무표(입력)'!$K$3:$K$33, $U$36, '근무표(입력)'!$A$3:$A$33, $A10) + SUMIFS('근무표(입력)'!$R$3:$R$33, '근무표(입력)'!$O$3:$O$33, $U$36, '근무표(입력)'!$A$3:$A$33, $A10)</f>
        <v>0</v>
      </c>
      <c r="Y45" s="9">
        <f t="shared" si="26"/>
        <v>46061</v>
      </c>
      <c r="Z45" s="7" t="str">
        <f t="shared" si="27"/>
        <v>일</v>
      </c>
      <c r="AA45" s="10">
        <f>SUMIFS('근무표(입력)'!$F$3:$F$33, '근무표(입력)'!$C$3:$C$33, $Y$36, '근무표(입력)'!$A$3:$A$33, $Y45) + SUMIFS('근무표(입력)'!$J$3:$J$33, '근무표(입력)'!$G$3:$G$33, $Y$36, '근무표(입력)'!$A$3:$A$33, $A10) + SUMIFS('근무표(입력)'!$N$3:$N$33, '근무표(입력)'!$K$3:$K$33, $Y$36, '근무표(입력)'!$A$3:$A$33, $A10) + SUMIFS('근무표(입력)'!$R$3:$R$33, '근무표(입력)'!$O$3:$O$33, $Y$36, '근무표(입력)'!$A$3:$A$33, $A10)</f>
        <v>0</v>
      </c>
    </row>
    <row r="46" spans="1:27" x14ac:dyDescent="0.3">
      <c r="A46" s="9">
        <f t="shared" si="14"/>
        <v>46062</v>
      </c>
      <c r="B46" s="7" t="str">
        <f t="shared" si="15"/>
        <v>월</v>
      </c>
      <c r="C46" s="10">
        <f>SUMIFS('근무표(입력)'!$F$3:$F$33, '근무표(입력)'!$C$3:$C$33, $A$36, '근무표(입력)'!$A$3:$A$33, $A46) + SUMIFS('근무표(입력)'!$J$3:$J$33, '근무표(입력)'!$G$3:$G$33, $A$36, '근무표(입력)'!$A$3:$A$33, $A11) + SUMIFS('근무표(입력)'!$N$3:$N$33, '근무표(입력)'!$K$3:$K$33, $A$36, '근무표(입력)'!$A$3:$A$33, $A11) + SUMIFS('근무표(입력)'!$R$3:$R$33, '근무표(입력)'!$O$3:$O$33, $A$36, '근무표(입력)'!$A$3:$A$33, $A11)</f>
        <v>0</v>
      </c>
      <c r="E46" s="9">
        <f t="shared" si="16"/>
        <v>46062</v>
      </c>
      <c r="F46" s="7" t="str">
        <f t="shared" si="17"/>
        <v>월</v>
      </c>
      <c r="G46" s="10">
        <f>SUMIFS('근무표(입력)'!$F$3:$F$33, '근무표(입력)'!$C$3:$C$33, $E$36, '근무표(입력)'!$A$3:$A$33, $E46) + SUMIFS('근무표(입력)'!$J$3:$J$33, '근무표(입력)'!$G$3:$G$33, $E$36, '근무표(입력)'!$A$3:$A$33, $A11) + SUMIFS('근무표(입력)'!$N$3:$N$33, '근무표(입력)'!$K$3:$K$33, $E$36, '근무표(입력)'!$A$3:$A$33, $A11) + SUMIFS('근무표(입력)'!$R$3:$R$33, '근무표(입력)'!$O$3:$O$33, $E$36, '근무표(입력)'!$A$3:$A$33, $A11)</f>
        <v>0</v>
      </c>
      <c r="I46" s="9">
        <f t="shared" si="18"/>
        <v>46062</v>
      </c>
      <c r="J46" s="7" t="str">
        <f t="shared" si="19"/>
        <v>월</v>
      </c>
      <c r="K46" s="10">
        <f>SUMIFS('근무표(입력)'!$F$3:$F$33, '근무표(입력)'!$C$3:$C$33, $I$36, '근무표(입력)'!$A$3:$A$33, $I46) + SUMIFS('근무표(입력)'!$J$3:$J$33, '근무표(입력)'!$G$3:$G$33, $I$36, '근무표(입력)'!$A$3:$A$33, $A11) + SUMIFS('근무표(입력)'!$N$3:$N$33, '근무표(입력)'!$K$3:$K$33, $I$36, '근무표(입력)'!$A$3:$A$33, $A11) + SUMIFS('근무표(입력)'!$R$3:$R$33, '근무표(입력)'!$O$3:$O$33, $I$36, '근무표(입력)'!$A$3:$A$33, $A11)</f>
        <v>0</v>
      </c>
      <c r="M46" s="9">
        <f t="shared" si="20"/>
        <v>46062</v>
      </c>
      <c r="N46" s="7" t="str">
        <f t="shared" si="21"/>
        <v>월</v>
      </c>
      <c r="O46" s="10">
        <f>SUMIFS('근무표(입력)'!$F$3:$F$33, '근무표(입력)'!$C$3:$C$33, $M$36, '근무표(입력)'!$A$3:$A$33, $M46) + SUMIFS('근무표(입력)'!$J$3:$J$33, '근무표(입력)'!$G$3:$G$33, $M$36, '근무표(입력)'!$A$3:$A$33, $A11) + SUMIFS('근무표(입력)'!$N$3:$N$33, '근무표(입력)'!$K$3:$K$33, $M$36, '근무표(입력)'!$A$3:$A$33, $A11) + SUMIFS('근무표(입력)'!$R$3:$R$33, '근무표(입력)'!$O$3:$O$33, $M$36, '근무표(입력)'!$A$3:$A$33, $A11)</f>
        <v>0</v>
      </c>
      <c r="Q46" s="9">
        <f t="shared" si="22"/>
        <v>46062</v>
      </c>
      <c r="R46" s="7" t="str">
        <f t="shared" si="23"/>
        <v>월</v>
      </c>
      <c r="S46" s="10">
        <f>SUMIFS('근무표(입력)'!$F$3:$F$33, '근무표(입력)'!$C$3:$C$33, $Q$36, '근무표(입력)'!$A$3:$A$33, $Q46) + SUMIFS('근무표(입력)'!$J$3:$J$33, '근무표(입력)'!$G$3:$G$33, $Q$36, '근무표(입력)'!$A$3:$A$33, $A11) + SUMIFS('근무표(입력)'!$N$3:$N$33, '근무표(입력)'!$K$3:$K$33, $Q$36, '근무표(입력)'!$A$3:$A$33, $A11) + SUMIFS('근무표(입력)'!$R$3:$R$33, '근무표(입력)'!$O$3:$O$33, $Q$36, '근무표(입력)'!$A$3:$A$33, $A11)</f>
        <v>0</v>
      </c>
      <c r="U46" s="9">
        <f t="shared" si="24"/>
        <v>46062</v>
      </c>
      <c r="V46" s="7" t="str">
        <f t="shared" si="25"/>
        <v>월</v>
      </c>
      <c r="W46" s="10">
        <f>SUMIFS('근무표(입력)'!$F$3:$F$33, '근무표(입력)'!$C$3:$C$33, $U$36, '근무표(입력)'!$A$3:$A$33, $U46) + SUMIFS('근무표(입력)'!$J$3:$J$33, '근무표(입력)'!$G$3:$G$33, $U$36, '근무표(입력)'!$A$3:$A$33, $A11) + SUMIFS('근무표(입력)'!$N$3:$N$33, '근무표(입력)'!$K$3:$K$33, $U$36, '근무표(입력)'!$A$3:$A$33, $A11) + SUMIFS('근무표(입력)'!$R$3:$R$33, '근무표(입력)'!$O$3:$O$33, $U$36, '근무표(입력)'!$A$3:$A$33, $A11)</f>
        <v>0</v>
      </c>
      <c r="Y46" s="9">
        <f t="shared" si="26"/>
        <v>46062</v>
      </c>
      <c r="Z46" s="7" t="str">
        <f t="shared" si="27"/>
        <v>월</v>
      </c>
      <c r="AA46" s="10">
        <f>SUMIFS('근무표(입력)'!$F$3:$F$33, '근무표(입력)'!$C$3:$C$33, $Y$36, '근무표(입력)'!$A$3:$A$33, $Y46) + SUMIFS('근무표(입력)'!$J$3:$J$33, '근무표(입력)'!$G$3:$G$33, $Y$36, '근무표(입력)'!$A$3:$A$33, $A11) + SUMIFS('근무표(입력)'!$N$3:$N$33, '근무표(입력)'!$K$3:$K$33, $Y$36, '근무표(입력)'!$A$3:$A$33, $A11) + SUMIFS('근무표(입력)'!$R$3:$R$33, '근무표(입력)'!$O$3:$O$33, $Y$36, '근무표(입력)'!$A$3:$A$33, $A11)</f>
        <v>0</v>
      </c>
    </row>
    <row r="47" spans="1:27" x14ac:dyDescent="0.3">
      <c r="A47" s="9">
        <f t="shared" si="14"/>
        <v>46063</v>
      </c>
      <c r="B47" s="7" t="str">
        <f t="shared" si="15"/>
        <v>화</v>
      </c>
      <c r="C47" s="10">
        <f>SUMIFS('근무표(입력)'!$F$3:$F$33, '근무표(입력)'!$C$3:$C$33, $A$36, '근무표(입력)'!$A$3:$A$33, $A47) + SUMIFS('근무표(입력)'!$J$3:$J$33, '근무표(입력)'!$G$3:$G$33, $A$36, '근무표(입력)'!$A$3:$A$33, $A12) + SUMIFS('근무표(입력)'!$N$3:$N$33, '근무표(입력)'!$K$3:$K$33, $A$36, '근무표(입력)'!$A$3:$A$33, $A12) + SUMIFS('근무표(입력)'!$R$3:$R$33, '근무표(입력)'!$O$3:$O$33, $A$36, '근무표(입력)'!$A$3:$A$33, $A12)</f>
        <v>0</v>
      </c>
      <c r="E47" s="9">
        <f t="shared" si="16"/>
        <v>46063</v>
      </c>
      <c r="F47" s="7" t="str">
        <f t="shared" si="17"/>
        <v>화</v>
      </c>
      <c r="G47" s="10">
        <f>SUMIFS('근무표(입력)'!$F$3:$F$33, '근무표(입력)'!$C$3:$C$33, $E$36, '근무표(입력)'!$A$3:$A$33, $E47) + SUMIFS('근무표(입력)'!$J$3:$J$33, '근무표(입력)'!$G$3:$G$33, $E$36, '근무표(입력)'!$A$3:$A$33, $A12) + SUMIFS('근무표(입력)'!$N$3:$N$33, '근무표(입력)'!$K$3:$K$33, $E$36, '근무표(입력)'!$A$3:$A$33, $A12) + SUMIFS('근무표(입력)'!$R$3:$R$33, '근무표(입력)'!$O$3:$O$33, $E$36, '근무표(입력)'!$A$3:$A$33, $A12)</f>
        <v>0</v>
      </c>
      <c r="I47" s="9">
        <f t="shared" si="18"/>
        <v>46063</v>
      </c>
      <c r="J47" s="7" t="str">
        <f t="shared" si="19"/>
        <v>화</v>
      </c>
      <c r="K47" s="10">
        <f>SUMIFS('근무표(입력)'!$F$3:$F$33, '근무표(입력)'!$C$3:$C$33, $I$36, '근무표(입력)'!$A$3:$A$33, $I47) + SUMIFS('근무표(입력)'!$J$3:$J$33, '근무표(입력)'!$G$3:$G$33, $I$36, '근무표(입력)'!$A$3:$A$33, $A12) + SUMIFS('근무표(입력)'!$N$3:$N$33, '근무표(입력)'!$K$3:$K$33, $I$36, '근무표(입력)'!$A$3:$A$33, $A12) + SUMIFS('근무표(입력)'!$R$3:$R$33, '근무표(입력)'!$O$3:$O$33, $I$36, '근무표(입력)'!$A$3:$A$33, $A12)</f>
        <v>0</v>
      </c>
      <c r="M47" s="9">
        <f t="shared" si="20"/>
        <v>46063</v>
      </c>
      <c r="N47" s="7" t="str">
        <f t="shared" si="21"/>
        <v>화</v>
      </c>
      <c r="O47" s="10">
        <f>SUMIFS('근무표(입력)'!$F$3:$F$33, '근무표(입력)'!$C$3:$C$33, $M$36, '근무표(입력)'!$A$3:$A$33, $M47) + SUMIFS('근무표(입력)'!$J$3:$J$33, '근무표(입력)'!$G$3:$G$33, $M$36, '근무표(입력)'!$A$3:$A$33, $A12) + SUMIFS('근무표(입력)'!$N$3:$N$33, '근무표(입력)'!$K$3:$K$33, $M$36, '근무표(입력)'!$A$3:$A$33, $A12) + SUMIFS('근무표(입력)'!$R$3:$R$33, '근무표(입력)'!$O$3:$O$33, $M$36, '근무표(입력)'!$A$3:$A$33, $A12)</f>
        <v>0</v>
      </c>
      <c r="Q47" s="9">
        <f t="shared" si="22"/>
        <v>46063</v>
      </c>
      <c r="R47" s="7" t="str">
        <f t="shared" si="23"/>
        <v>화</v>
      </c>
      <c r="S47" s="10">
        <f>SUMIFS('근무표(입력)'!$F$3:$F$33, '근무표(입력)'!$C$3:$C$33, $Q$36, '근무표(입력)'!$A$3:$A$33, $Q47) + SUMIFS('근무표(입력)'!$J$3:$J$33, '근무표(입력)'!$G$3:$G$33, $Q$36, '근무표(입력)'!$A$3:$A$33, $A12) + SUMIFS('근무표(입력)'!$N$3:$N$33, '근무표(입력)'!$K$3:$K$33, $Q$36, '근무표(입력)'!$A$3:$A$33, $A12) + SUMIFS('근무표(입력)'!$R$3:$R$33, '근무표(입력)'!$O$3:$O$33, $Q$36, '근무표(입력)'!$A$3:$A$33, $A12)</f>
        <v>0</v>
      </c>
      <c r="U47" s="9">
        <f t="shared" si="24"/>
        <v>46063</v>
      </c>
      <c r="V47" s="7" t="str">
        <f t="shared" si="25"/>
        <v>화</v>
      </c>
      <c r="W47" s="10">
        <f>SUMIFS('근무표(입력)'!$F$3:$F$33, '근무표(입력)'!$C$3:$C$33, $U$36, '근무표(입력)'!$A$3:$A$33, $U47) + SUMIFS('근무표(입력)'!$J$3:$J$33, '근무표(입력)'!$G$3:$G$33, $U$36, '근무표(입력)'!$A$3:$A$33, $A12) + SUMIFS('근무표(입력)'!$N$3:$N$33, '근무표(입력)'!$K$3:$K$33, $U$36, '근무표(입력)'!$A$3:$A$33, $A12) + SUMIFS('근무표(입력)'!$R$3:$R$33, '근무표(입력)'!$O$3:$O$33, $U$36, '근무표(입력)'!$A$3:$A$33, $A12)</f>
        <v>0</v>
      </c>
      <c r="Y47" s="9">
        <f t="shared" si="26"/>
        <v>46063</v>
      </c>
      <c r="Z47" s="7" t="str">
        <f t="shared" si="27"/>
        <v>화</v>
      </c>
      <c r="AA47" s="10">
        <f>SUMIFS('근무표(입력)'!$F$3:$F$33, '근무표(입력)'!$C$3:$C$33, $Y$36, '근무표(입력)'!$A$3:$A$33, $Y47) + SUMIFS('근무표(입력)'!$J$3:$J$33, '근무표(입력)'!$G$3:$G$33, $Y$36, '근무표(입력)'!$A$3:$A$33, $A12) + SUMIFS('근무표(입력)'!$N$3:$N$33, '근무표(입력)'!$K$3:$K$33, $Y$36, '근무표(입력)'!$A$3:$A$33, $A12) + SUMIFS('근무표(입력)'!$R$3:$R$33, '근무표(입력)'!$O$3:$O$33, $Y$36, '근무표(입력)'!$A$3:$A$33, $A12)</f>
        <v>0</v>
      </c>
    </row>
    <row r="48" spans="1:27" x14ac:dyDescent="0.3">
      <c r="A48" s="9">
        <f t="shared" si="14"/>
        <v>46064</v>
      </c>
      <c r="B48" s="7" t="str">
        <f t="shared" si="15"/>
        <v>수</v>
      </c>
      <c r="C48" s="10">
        <f>SUMIFS('근무표(입력)'!$F$3:$F$33, '근무표(입력)'!$C$3:$C$33, $A$36, '근무표(입력)'!$A$3:$A$33, $A48) + SUMIFS('근무표(입력)'!$J$3:$J$33, '근무표(입력)'!$G$3:$G$33, $A$36, '근무표(입력)'!$A$3:$A$33, $A13) + SUMIFS('근무표(입력)'!$N$3:$N$33, '근무표(입력)'!$K$3:$K$33, $A$36, '근무표(입력)'!$A$3:$A$33, $A13) + SUMIFS('근무표(입력)'!$R$3:$R$33, '근무표(입력)'!$O$3:$O$33, $A$36, '근무표(입력)'!$A$3:$A$33, $A13)</f>
        <v>0</v>
      </c>
      <c r="E48" s="9">
        <f t="shared" si="16"/>
        <v>46064</v>
      </c>
      <c r="F48" s="7" t="str">
        <f t="shared" si="17"/>
        <v>수</v>
      </c>
      <c r="G48" s="10">
        <f>SUMIFS('근무표(입력)'!$F$3:$F$33, '근무표(입력)'!$C$3:$C$33, $E$36, '근무표(입력)'!$A$3:$A$33, $E48) + SUMIFS('근무표(입력)'!$J$3:$J$33, '근무표(입력)'!$G$3:$G$33, $E$36, '근무표(입력)'!$A$3:$A$33, $A13) + SUMIFS('근무표(입력)'!$N$3:$N$33, '근무표(입력)'!$K$3:$K$33, $E$36, '근무표(입력)'!$A$3:$A$33, $A13) + SUMIFS('근무표(입력)'!$R$3:$R$33, '근무표(입력)'!$O$3:$O$33, $E$36, '근무표(입력)'!$A$3:$A$33, $A13)</f>
        <v>0</v>
      </c>
      <c r="I48" s="9">
        <f t="shared" si="18"/>
        <v>46064</v>
      </c>
      <c r="J48" s="7" t="str">
        <f t="shared" si="19"/>
        <v>수</v>
      </c>
      <c r="K48" s="10">
        <f>SUMIFS('근무표(입력)'!$F$3:$F$33, '근무표(입력)'!$C$3:$C$33, $I$36, '근무표(입력)'!$A$3:$A$33, $I48) + SUMIFS('근무표(입력)'!$J$3:$J$33, '근무표(입력)'!$G$3:$G$33, $I$36, '근무표(입력)'!$A$3:$A$33, $A13) + SUMIFS('근무표(입력)'!$N$3:$N$33, '근무표(입력)'!$K$3:$K$33, $I$36, '근무표(입력)'!$A$3:$A$33, $A13) + SUMIFS('근무표(입력)'!$R$3:$R$33, '근무표(입력)'!$O$3:$O$33, $I$36, '근무표(입력)'!$A$3:$A$33, $A13)</f>
        <v>0</v>
      </c>
      <c r="M48" s="9">
        <f t="shared" si="20"/>
        <v>46064</v>
      </c>
      <c r="N48" s="7" t="str">
        <f t="shared" si="21"/>
        <v>수</v>
      </c>
      <c r="O48" s="10">
        <f>SUMIFS('근무표(입력)'!$F$3:$F$33, '근무표(입력)'!$C$3:$C$33, $M$36, '근무표(입력)'!$A$3:$A$33, $M48) + SUMIFS('근무표(입력)'!$J$3:$J$33, '근무표(입력)'!$G$3:$G$33, $M$36, '근무표(입력)'!$A$3:$A$33, $A13) + SUMIFS('근무표(입력)'!$N$3:$N$33, '근무표(입력)'!$K$3:$K$33, $M$36, '근무표(입력)'!$A$3:$A$33, $A13) + SUMIFS('근무표(입력)'!$R$3:$R$33, '근무표(입력)'!$O$3:$O$33, $M$36, '근무표(입력)'!$A$3:$A$33, $A13)</f>
        <v>0</v>
      </c>
      <c r="Q48" s="9">
        <f t="shared" si="22"/>
        <v>46064</v>
      </c>
      <c r="R48" s="7" t="str">
        <f t="shared" si="23"/>
        <v>수</v>
      </c>
      <c r="S48" s="10">
        <f>SUMIFS('근무표(입력)'!$F$3:$F$33, '근무표(입력)'!$C$3:$C$33, $Q$36, '근무표(입력)'!$A$3:$A$33, $Q48) + SUMIFS('근무표(입력)'!$J$3:$J$33, '근무표(입력)'!$G$3:$G$33, $Q$36, '근무표(입력)'!$A$3:$A$33, $A13) + SUMIFS('근무표(입력)'!$N$3:$N$33, '근무표(입력)'!$K$3:$K$33, $Q$36, '근무표(입력)'!$A$3:$A$33, $A13) + SUMIFS('근무표(입력)'!$R$3:$R$33, '근무표(입력)'!$O$3:$O$33, $Q$36, '근무표(입력)'!$A$3:$A$33, $A13)</f>
        <v>0</v>
      </c>
      <c r="U48" s="9">
        <f t="shared" si="24"/>
        <v>46064</v>
      </c>
      <c r="V48" s="7" t="str">
        <f t="shared" si="25"/>
        <v>수</v>
      </c>
      <c r="W48" s="10">
        <f>SUMIFS('근무표(입력)'!$F$3:$F$33, '근무표(입력)'!$C$3:$C$33, $U$36, '근무표(입력)'!$A$3:$A$33, $U48) + SUMIFS('근무표(입력)'!$J$3:$J$33, '근무표(입력)'!$G$3:$G$33, $U$36, '근무표(입력)'!$A$3:$A$33, $A13) + SUMIFS('근무표(입력)'!$N$3:$N$33, '근무표(입력)'!$K$3:$K$33, $U$36, '근무표(입력)'!$A$3:$A$33, $A13) + SUMIFS('근무표(입력)'!$R$3:$R$33, '근무표(입력)'!$O$3:$O$33, $U$36, '근무표(입력)'!$A$3:$A$33, $A13)</f>
        <v>0</v>
      </c>
      <c r="Y48" s="9">
        <f t="shared" si="26"/>
        <v>46064</v>
      </c>
      <c r="Z48" s="7" t="str">
        <f t="shared" si="27"/>
        <v>수</v>
      </c>
      <c r="AA48" s="10">
        <f>SUMIFS('근무표(입력)'!$F$3:$F$33, '근무표(입력)'!$C$3:$C$33, $Y$36, '근무표(입력)'!$A$3:$A$33, $Y48) + SUMIFS('근무표(입력)'!$J$3:$J$33, '근무표(입력)'!$G$3:$G$33, $Y$36, '근무표(입력)'!$A$3:$A$33, $A13) + SUMIFS('근무표(입력)'!$N$3:$N$33, '근무표(입력)'!$K$3:$K$33, $Y$36, '근무표(입력)'!$A$3:$A$33, $A13) + SUMIFS('근무표(입력)'!$R$3:$R$33, '근무표(입력)'!$O$3:$O$33, $Y$36, '근무표(입력)'!$A$3:$A$33, $A13)</f>
        <v>0</v>
      </c>
    </row>
    <row r="49" spans="1:27" x14ac:dyDescent="0.3">
      <c r="A49" s="9">
        <f t="shared" si="14"/>
        <v>46065</v>
      </c>
      <c r="B49" s="7" t="str">
        <f t="shared" si="15"/>
        <v>목</v>
      </c>
      <c r="C49" s="10">
        <f>SUMIFS('근무표(입력)'!$F$3:$F$33, '근무표(입력)'!$C$3:$C$33, $A$36, '근무표(입력)'!$A$3:$A$33, $A49) + SUMIFS('근무표(입력)'!$J$3:$J$33, '근무표(입력)'!$G$3:$G$33, $A$36, '근무표(입력)'!$A$3:$A$33, $A14) + SUMIFS('근무표(입력)'!$N$3:$N$33, '근무표(입력)'!$K$3:$K$33, $A$36, '근무표(입력)'!$A$3:$A$33, $A14) + SUMIFS('근무표(입력)'!$R$3:$R$33, '근무표(입력)'!$O$3:$O$33, $A$36, '근무표(입력)'!$A$3:$A$33, $A14)</f>
        <v>0</v>
      </c>
      <c r="E49" s="9">
        <f t="shared" si="16"/>
        <v>46065</v>
      </c>
      <c r="F49" s="7" t="str">
        <f t="shared" si="17"/>
        <v>목</v>
      </c>
      <c r="G49" s="10">
        <f>SUMIFS('근무표(입력)'!$F$3:$F$33, '근무표(입력)'!$C$3:$C$33, $E$36, '근무표(입력)'!$A$3:$A$33, $E49) + SUMIFS('근무표(입력)'!$J$3:$J$33, '근무표(입력)'!$G$3:$G$33, $E$36, '근무표(입력)'!$A$3:$A$33, $A14) + SUMIFS('근무표(입력)'!$N$3:$N$33, '근무표(입력)'!$K$3:$K$33, $E$36, '근무표(입력)'!$A$3:$A$33, $A14) + SUMIFS('근무표(입력)'!$R$3:$R$33, '근무표(입력)'!$O$3:$O$33, $E$36, '근무표(입력)'!$A$3:$A$33, $A14)</f>
        <v>0</v>
      </c>
      <c r="I49" s="9">
        <f t="shared" si="18"/>
        <v>46065</v>
      </c>
      <c r="J49" s="7" t="str">
        <f t="shared" si="19"/>
        <v>목</v>
      </c>
      <c r="K49" s="10">
        <f>SUMIFS('근무표(입력)'!$F$3:$F$33, '근무표(입력)'!$C$3:$C$33, $I$36, '근무표(입력)'!$A$3:$A$33, $I49) + SUMIFS('근무표(입력)'!$J$3:$J$33, '근무표(입력)'!$G$3:$G$33, $I$36, '근무표(입력)'!$A$3:$A$33, $A14) + SUMIFS('근무표(입력)'!$N$3:$N$33, '근무표(입력)'!$K$3:$K$33, $I$36, '근무표(입력)'!$A$3:$A$33, $A14) + SUMIFS('근무표(입력)'!$R$3:$R$33, '근무표(입력)'!$O$3:$O$33, $I$36, '근무표(입력)'!$A$3:$A$33, $A14)</f>
        <v>0</v>
      </c>
      <c r="M49" s="9">
        <f t="shared" si="20"/>
        <v>46065</v>
      </c>
      <c r="N49" s="7" t="str">
        <f t="shared" si="21"/>
        <v>목</v>
      </c>
      <c r="O49" s="10">
        <f>SUMIFS('근무표(입력)'!$F$3:$F$33, '근무표(입력)'!$C$3:$C$33, $M$36, '근무표(입력)'!$A$3:$A$33, $M49) + SUMIFS('근무표(입력)'!$J$3:$J$33, '근무표(입력)'!$G$3:$G$33, $M$36, '근무표(입력)'!$A$3:$A$33, $A14) + SUMIFS('근무표(입력)'!$N$3:$N$33, '근무표(입력)'!$K$3:$K$33, $M$36, '근무표(입력)'!$A$3:$A$33, $A14) + SUMIFS('근무표(입력)'!$R$3:$R$33, '근무표(입력)'!$O$3:$O$33, $M$36, '근무표(입력)'!$A$3:$A$33, $A14)</f>
        <v>0</v>
      </c>
      <c r="Q49" s="9">
        <f t="shared" si="22"/>
        <v>46065</v>
      </c>
      <c r="R49" s="7" t="str">
        <f t="shared" si="23"/>
        <v>목</v>
      </c>
      <c r="S49" s="10">
        <f>SUMIFS('근무표(입력)'!$F$3:$F$33, '근무표(입력)'!$C$3:$C$33, $Q$36, '근무표(입력)'!$A$3:$A$33, $Q49) + SUMIFS('근무표(입력)'!$J$3:$J$33, '근무표(입력)'!$G$3:$G$33, $Q$36, '근무표(입력)'!$A$3:$A$33, $A14) + SUMIFS('근무표(입력)'!$N$3:$N$33, '근무표(입력)'!$K$3:$K$33, $Q$36, '근무표(입력)'!$A$3:$A$33, $A14) + SUMIFS('근무표(입력)'!$R$3:$R$33, '근무표(입력)'!$O$3:$O$33, $Q$36, '근무표(입력)'!$A$3:$A$33, $A14)</f>
        <v>0</v>
      </c>
      <c r="U49" s="9">
        <f t="shared" si="24"/>
        <v>46065</v>
      </c>
      <c r="V49" s="7" t="str">
        <f t="shared" si="25"/>
        <v>목</v>
      </c>
      <c r="W49" s="10">
        <f>SUMIFS('근무표(입력)'!$F$3:$F$33, '근무표(입력)'!$C$3:$C$33, $U$36, '근무표(입력)'!$A$3:$A$33, $U49) + SUMIFS('근무표(입력)'!$J$3:$J$33, '근무표(입력)'!$G$3:$G$33, $U$36, '근무표(입력)'!$A$3:$A$33, $A14) + SUMIFS('근무표(입력)'!$N$3:$N$33, '근무표(입력)'!$K$3:$K$33, $U$36, '근무표(입력)'!$A$3:$A$33, $A14) + SUMIFS('근무표(입력)'!$R$3:$R$33, '근무표(입력)'!$O$3:$O$33, $U$36, '근무표(입력)'!$A$3:$A$33, $A14)</f>
        <v>0</v>
      </c>
      <c r="Y49" s="9">
        <f t="shared" si="26"/>
        <v>46065</v>
      </c>
      <c r="Z49" s="7" t="str">
        <f t="shared" si="27"/>
        <v>목</v>
      </c>
      <c r="AA49" s="10">
        <f>SUMIFS('근무표(입력)'!$F$3:$F$33, '근무표(입력)'!$C$3:$C$33, $Y$36, '근무표(입력)'!$A$3:$A$33, $Y49) + SUMIFS('근무표(입력)'!$J$3:$J$33, '근무표(입력)'!$G$3:$G$33, $Y$36, '근무표(입력)'!$A$3:$A$33, $A14) + SUMIFS('근무표(입력)'!$N$3:$N$33, '근무표(입력)'!$K$3:$K$33, $Y$36, '근무표(입력)'!$A$3:$A$33, $A14) + SUMIFS('근무표(입력)'!$R$3:$R$33, '근무표(입력)'!$O$3:$O$33, $Y$36, '근무표(입력)'!$A$3:$A$33, $A14)</f>
        <v>0</v>
      </c>
    </row>
    <row r="50" spans="1:27" x14ac:dyDescent="0.3">
      <c r="A50" s="9">
        <f t="shared" si="14"/>
        <v>46066</v>
      </c>
      <c r="B50" s="7" t="str">
        <f t="shared" si="15"/>
        <v>금</v>
      </c>
      <c r="C50" s="10">
        <f>SUMIFS('근무표(입력)'!$F$3:$F$33, '근무표(입력)'!$C$3:$C$33, $A$36, '근무표(입력)'!$A$3:$A$33, $A50) + SUMIFS('근무표(입력)'!$J$3:$J$33, '근무표(입력)'!$G$3:$G$33, $A$36, '근무표(입력)'!$A$3:$A$33, $A15) + SUMIFS('근무표(입력)'!$N$3:$N$33, '근무표(입력)'!$K$3:$K$33, $A$36, '근무표(입력)'!$A$3:$A$33, $A15) + SUMIFS('근무표(입력)'!$R$3:$R$33, '근무표(입력)'!$O$3:$O$33, $A$36, '근무표(입력)'!$A$3:$A$33, $A15)</f>
        <v>0</v>
      </c>
      <c r="E50" s="9">
        <f t="shared" si="16"/>
        <v>46066</v>
      </c>
      <c r="F50" s="7" t="str">
        <f t="shared" si="17"/>
        <v>금</v>
      </c>
      <c r="G50" s="10">
        <f>SUMIFS('근무표(입력)'!$F$3:$F$33, '근무표(입력)'!$C$3:$C$33, $E$36, '근무표(입력)'!$A$3:$A$33, $E50) + SUMIFS('근무표(입력)'!$J$3:$J$33, '근무표(입력)'!$G$3:$G$33, $E$36, '근무표(입력)'!$A$3:$A$33, $A15) + SUMIFS('근무표(입력)'!$N$3:$N$33, '근무표(입력)'!$K$3:$K$33, $E$36, '근무표(입력)'!$A$3:$A$33, $A15) + SUMIFS('근무표(입력)'!$R$3:$R$33, '근무표(입력)'!$O$3:$O$33, $E$36, '근무표(입력)'!$A$3:$A$33, $A15)</f>
        <v>0</v>
      </c>
      <c r="I50" s="9">
        <f t="shared" si="18"/>
        <v>46066</v>
      </c>
      <c r="J50" s="7" t="str">
        <f t="shared" si="19"/>
        <v>금</v>
      </c>
      <c r="K50" s="10">
        <f>SUMIFS('근무표(입력)'!$F$3:$F$33, '근무표(입력)'!$C$3:$C$33, $I$36, '근무표(입력)'!$A$3:$A$33, $I50) + SUMIFS('근무표(입력)'!$J$3:$J$33, '근무표(입력)'!$G$3:$G$33, $I$36, '근무표(입력)'!$A$3:$A$33, $A15) + SUMIFS('근무표(입력)'!$N$3:$N$33, '근무표(입력)'!$K$3:$K$33, $I$36, '근무표(입력)'!$A$3:$A$33, $A15) + SUMIFS('근무표(입력)'!$R$3:$R$33, '근무표(입력)'!$O$3:$O$33, $I$36, '근무표(입력)'!$A$3:$A$33, $A15)</f>
        <v>0</v>
      </c>
      <c r="M50" s="9">
        <f t="shared" si="20"/>
        <v>46066</v>
      </c>
      <c r="N50" s="7" t="str">
        <f t="shared" si="21"/>
        <v>금</v>
      </c>
      <c r="O50" s="10">
        <f>SUMIFS('근무표(입력)'!$F$3:$F$33, '근무표(입력)'!$C$3:$C$33, $M$36, '근무표(입력)'!$A$3:$A$33, $M50) + SUMIFS('근무표(입력)'!$J$3:$J$33, '근무표(입력)'!$G$3:$G$33, $M$36, '근무표(입력)'!$A$3:$A$33, $A15) + SUMIFS('근무표(입력)'!$N$3:$N$33, '근무표(입력)'!$K$3:$K$33, $M$36, '근무표(입력)'!$A$3:$A$33, $A15) + SUMIFS('근무표(입력)'!$R$3:$R$33, '근무표(입력)'!$O$3:$O$33, $M$36, '근무표(입력)'!$A$3:$A$33, $A15)</f>
        <v>0</v>
      </c>
      <c r="Q50" s="9">
        <f t="shared" si="22"/>
        <v>46066</v>
      </c>
      <c r="R50" s="7" t="str">
        <f t="shared" si="23"/>
        <v>금</v>
      </c>
      <c r="S50" s="10">
        <f>SUMIFS('근무표(입력)'!$F$3:$F$33, '근무표(입력)'!$C$3:$C$33, $Q$36, '근무표(입력)'!$A$3:$A$33, $Q50) + SUMIFS('근무표(입력)'!$J$3:$J$33, '근무표(입력)'!$G$3:$G$33, $Q$36, '근무표(입력)'!$A$3:$A$33, $A15) + SUMIFS('근무표(입력)'!$N$3:$N$33, '근무표(입력)'!$K$3:$K$33, $Q$36, '근무표(입력)'!$A$3:$A$33, $A15) + SUMIFS('근무표(입력)'!$R$3:$R$33, '근무표(입력)'!$O$3:$O$33, $Q$36, '근무표(입력)'!$A$3:$A$33, $A15)</f>
        <v>0</v>
      </c>
      <c r="U50" s="9">
        <f t="shared" si="24"/>
        <v>46066</v>
      </c>
      <c r="V50" s="7" t="str">
        <f t="shared" si="25"/>
        <v>금</v>
      </c>
      <c r="W50" s="10">
        <f>SUMIFS('근무표(입력)'!$F$3:$F$33, '근무표(입력)'!$C$3:$C$33, $U$36, '근무표(입력)'!$A$3:$A$33, $U50) + SUMIFS('근무표(입력)'!$J$3:$J$33, '근무표(입력)'!$G$3:$G$33, $U$36, '근무표(입력)'!$A$3:$A$33, $A15) + SUMIFS('근무표(입력)'!$N$3:$N$33, '근무표(입력)'!$K$3:$K$33, $U$36, '근무표(입력)'!$A$3:$A$33, $A15) + SUMIFS('근무표(입력)'!$R$3:$R$33, '근무표(입력)'!$O$3:$O$33, $U$36, '근무표(입력)'!$A$3:$A$33, $A15)</f>
        <v>0</v>
      </c>
      <c r="Y50" s="9">
        <f t="shared" si="26"/>
        <v>46066</v>
      </c>
      <c r="Z50" s="7" t="str">
        <f t="shared" si="27"/>
        <v>금</v>
      </c>
      <c r="AA50" s="10">
        <f>SUMIFS('근무표(입력)'!$F$3:$F$33, '근무표(입력)'!$C$3:$C$33, $Y$36, '근무표(입력)'!$A$3:$A$33, $Y50) + SUMIFS('근무표(입력)'!$J$3:$J$33, '근무표(입력)'!$G$3:$G$33, $Y$36, '근무표(입력)'!$A$3:$A$33, $A15) + SUMIFS('근무표(입력)'!$N$3:$N$33, '근무표(입력)'!$K$3:$K$33, $Y$36, '근무표(입력)'!$A$3:$A$33, $A15) + SUMIFS('근무표(입력)'!$R$3:$R$33, '근무표(입력)'!$O$3:$O$33, $Y$36, '근무표(입력)'!$A$3:$A$33, $A15)</f>
        <v>0</v>
      </c>
    </row>
    <row r="51" spans="1:27" x14ac:dyDescent="0.3">
      <c r="A51" s="9">
        <f t="shared" si="14"/>
        <v>46067</v>
      </c>
      <c r="B51" s="7" t="str">
        <f t="shared" si="15"/>
        <v>토</v>
      </c>
      <c r="C51" s="10">
        <f>SUMIFS('근무표(입력)'!$F$3:$F$33, '근무표(입력)'!$C$3:$C$33, $A$36, '근무표(입력)'!$A$3:$A$33, $A51) + SUMIFS('근무표(입력)'!$J$3:$J$33, '근무표(입력)'!$G$3:$G$33, $A$36, '근무표(입력)'!$A$3:$A$33, $A16) + SUMIFS('근무표(입력)'!$N$3:$N$33, '근무표(입력)'!$K$3:$K$33, $A$36, '근무표(입력)'!$A$3:$A$33, $A16) + SUMIFS('근무표(입력)'!$R$3:$R$33, '근무표(입력)'!$O$3:$O$33, $A$36, '근무표(입력)'!$A$3:$A$33, $A16)</f>
        <v>0</v>
      </c>
      <c r="E51" s="9">
        <f t="shared" si="16"/>
        <v>46067</v>
      </c>
      <c r="F51" s="7" t="str">
        <f t="shared" si="17"/>
        <v>토</v>
      </c>
      <c r="G51" s="10">
        <f>SUMIFS('근무표(입력)'!$F$3:$F$33, '근무표(입력)'!$C$3:$C$33, $E$36, '근무표(입력)'!$A$3:$A$33, $E51) + SUMIFS('근무표(입력)'!$J$3:$J$33, '근무표(입력)'!$G$3:$G$33, $E$36, '근무표(입력)'!$A$3:$A$33, $A16) + SUMIFS('근무표(입력)'!$N$3:$N$33, '근무표(입력)'!$K$3:$K$33, $E$36, '근무표(입력)'!$A$3:$A$33, $A16) + SUMIFS('근무표(입력)'!$R$3:$R$33, '근무표(입력)'!$O$3:$O$33, $E$36, '근무표(입력)'!$A$3:$A$33, $A16)</f>
        <v>0</v>
      </c>
      <c r="I51" s="9">
        <f t="shared" si="18"/>
        <v>46067</v>
      </c>
      <c r="J51" s="7" t="str">
        <f t="shared" si="19"/>
        <v>토</v>
      </c>
      <c r="K51" s="10">
        <f>SUMIFS('근무표(입력)'!$F$3:$F$33, '근무표(입력)'!$C$3:$C$33, $I$36, '근무표(입력)'!$A$3:$A$33, $I51) + SUMIFS('근무표(입력)'!$J$3:$J$33, '근무표(입력)'!$G$3:$G$33, $I$36, '근무표(입력)'!$A$3:$A$33, $A16) + SUMIFS('근무표(입력)'!$N$3:$N$33, '근무표(입력)'!$K$3:$K$33, $I$36, '근무표(입력)'!$A$3:$A$33, $A16) + SUMIFS('근무표(입력)'!$R$3:$R$33, '근무표(입력)'!$O$3:$O$33, $I$36, '근무표(입력)'!$A$3:$A$33, $A16)</f>
        <v>0</v>
      </c>
      <c r="M51" s="9">
        <f t="shared" si="20"/>
        <v>46067</v>
      </c>
      <c r="N51" s="7" t="str">
        <f t="shared" si="21"/>
        <v>토</v>
      </c>
      <c r="O51" s="10">
        <f>SUMIFS('근무표(입력)'!$F$3:$F$33, '근무표(입력)'!$C$3:$C$33, $M$36, '근무표(입력)'!$A$3:$A$33, $M51) + SUMIFS('근무표(입력)'!$J$3:$J$33, '근무표(입력)'!$G$3:$G$33, $M$36, '근무표(입력)'!$A$3:$A$33, $A16) + SUMIFS('근무표(입력)'!$N$3:$N$33, '근무표(입력)'!$K$3:$K$33, $M$36, '근무표(입력)'!$A$3:$A$33, $A16) + SUMIFS('근무표(입력)'!$R$3:$R$33, '근무표(입력)'!$O$3:$O$33, $M$36, '근무표(입력)'!$A$3:$A$33, $A16)</f>
        <v>0</v>
      </c>
      <c r="Q51" s="9">
        <f t="shared" si="22"/>
        <v>46067</v>
      </c>
      <c r="R51" s="7" t="str">
        <f t="shared" si="23"/>
        <v>토</v>
      </c>
      <c r="S51" s="10">
        <f>SUMIFS('근무표(입력)'!$F$3:$F$33, '근무표(입력)'!$C$3:$C$33, $Q$36, '근무표(입력)'!$A$3:$A$33, $Q51) + SUMIFS('근무표(입력)'!$J$3:$J$33, '근무표(입력)'!$G$3:$G$33, $Q$36, '근무표(입력)'!$A$3:$A$33, $A16) + SUMIFS('근무표(입력)'!$N$3:$N$33, '근무표(입력)'!$K$3:$K$33, $Q$36, '근무표(입력)'!$A$3:$A$33, $A16) + SUMIFS('근무표(입력)'!$R$3:$R$33, '근무표(입력)'!$O$3:$O$33, $Q$36, '근무표(입력)'!$A$3:$A$33, $A16)</f>
        <v>0</v>
      </c>
      <c r="U51" s="9">
        <f t="shared" si="24"/>
        <v>46067</v>
      </c>
      <c r="V51" s="7" t="str">
        <f t="shared" si="25"/>
        <v>토</v>
      </c>
      <c r="W51" s="10">
        <f>SUMIFS('근무표(입력)'!$F$3:$F$33, '근무표(입력)'!$C$3:$C$33, $U$36, '근무표(입력)'!$A$3:$A$33, $U51) + SUMIFS('근무표(입력)'!$J$3:$J$33, '근무표(입력)'!$G$3:$G$33, $U$36, '근무표(입력)'!$A$3:$A$33, $A16) + SUMIFS('근무표(입력)'!$N$3:$N$33, '근무표(입력)'!$K$3:$K$33, $U$36, '근무표(입력)'!$A$3:$A$33, $A16) + SUMIFS('근무표(입력)'!$R$3:$R$33, '근무표(입력)'!$O$3:$O$33, $U$36, '근무표(입력)'!$A$3:$A$33, $A16)</f>
        <v>0</v>
      </c>
      <c r="Y51" s="9">
        <f t="shared" si="26"/>
        <v>46067</v>
      </c>
      <c r="Z51" s="7" t="str">
        <f t="shared" si="27"/>
        <v>토</v>
      </c>
      <c r="AA51" s="10">
        <f>SUMIFS('근무표(입력)'!$F$3:$F$33, '근무표(입력)'!$C$3:$C$33, $Y$36, '근무표(입력)'!$A$3:$A$33, $Y51) + SUMIFS('근무표(입력)'!$J$3:$J$33, '근무표(입력)'!$G$3:$G$33, $Y$36, '근무표(입력)'!$A$3:$A$33, $A16) + SUMIFS('근무표(입력)'!$N$3:$N$33, '근무표(입력)'!$K$3:$K$33, $Y$36, '근무표(입력)'!$A$3:$A$33, $A16) + SUMIFS('근무표(입력)'!$R$3:$R$33, '근무표(입력)'!$O$3:$O$33, $Y$36, '근무표(입력)'!$A$3:$A$33, $A16)</f>
        <v>0</v>
      </c>
    </row>
    <row r="52" spans="1:27" x14ac:dyDescent="0.3">
      <c r="A52" s="9">
        <f t="shared" si="14"/>
        <v>46068</v>
      </c>
      <c r="B52" s="7" t="str">
        <f t="shared" si="15"/>
        <v>일</v>
      </c>
      <c r="C52" s="10">
        <f>SUMIFS('근무표(입력)'!$F$3:$F$33, '근무표(입력)'!$C$3:$C$33, $A$36, '근무표(입력)'!$A$3:$A$33, $A52) + SUMIFS('근무표(입력)'!$J$3:$J$33, '근무표(입력)'!$G$3:$G$33, $A$36, '근무표(입력)'!$A$3:$A$33, $A17) + SUMIFS('근무표(입력)'!$N$3:$N$33, '근무표(입력)'!$K$3:$K$33, $A$36, '근무표(입력)'!$A$3:$A$33, $A17) + SUMIFS('근무표(입력)'!$R$3:$R$33, '근무표(입력)'!$O$3:$O$33, $A$36, '근무표(입력)'!$A$3:$A$33, $A17)</f>
        <v>0</v>
      </c>
      <c r="E52" s="9">
        <f t="shared" si="16"/>
        <v>46068</v>
      </c>
      <c r="F52" s="7" t="str">
        <f t="shared" si="17"/>
        <v>일</v>
      </c>
      <c r="G52" s="10">
        <f>SUMIFS('근무표(입력)'!$F$3:$F$33, '근무표(입력)'!$C$3:$C$33, $E$36, '근무표(입력)'!$A$3:$A$33, $E52) + SUMIFS('근무표(입력)'!$J$3:$J$33, '근무표(입력)'!$G$3:$G$33, $E$36, '근무표(입력)'!$A$3:$A$33, $A17) + SUMIFS('근무표(입력)'!$N$3:$N$33, '근무표(입력)'!$K$3:$K$33, $E$36, '근무표(입력)'!$A$3:$A$33, $A17) + SUMIFS('근무표(입력)'!$R$3:$R$33, '근무표(입력)'!$O$3:$O$33, $E$36, '근무표(입력)'!$A$3:$A$33, $A17)</f>
        <v>0</v>
      </c>
      <c r="I52" s="9">
        <f t="shared" si="18"/>
        <v>46068</v>
      </c>
      <c r="J52" s="7" t="str">
        <f t="shared" si="19"/>
        <v>일</v>
      </c>
      <c r="K52" s="10">
        <f>SUMIFS('근무표(입력)'!$F$3:$F$33, '근무표(입력)'!$C$3:$C$33, $I$36, '근무표(입력)'!$A$3:$A$33, $I52) + SUMIFS('근무표(입력)'!$J$3:$J$33, '근무표(입력)'!$G$3:$G$33, $I$36, '근무표(입력)'!$A$3:$A$33, $A17) + SUMIFS('근무표(입력)'!$N$3:$N$33, '근무표(입력)'!$K$3:$K$33, $I$36, '근무표(입력)'!$A$3:$A$33, $A17) + SUMIFS('근무표(입력)'!$R$3:$R$33, '근무표(입력)'!$O$3:$O$33, $I$36, '근무표(입력)'!$A$3:$A$33, $A17)</f>
        <v>0</v>
      </c>
      <c r="M52" s="9">
        <f t="shared" si="20"/>
        <v>46068</v>
      </c>
      <c r="N52" s="7" t="str">
        <f t="shared" si="21"/>
        <v>일</v>
      </c>
      <c r="O52" s="10">
        <f>SUMIFS('근무표(입력)'!$F$3:$F$33, '근무표(입력)'!$C$3:$C$33, $M$36, '근무표(입력)'!$A$3:$A$33, $M52) + SUMIFS('근무표(입력)'!$J$3:$J$33, '근무표(입력)'!$G$3:$G$33, $M$36, '근무표(입력)'!$A$3:$A$33, $A17) + SUMIFS('근무표(입력)'!$N$3:$N$33, '근무표(입력)'!$K$3:$K$33, $M$36, '근무표(입력)'!$A$3:$A$33, $A17) + SUMIFS('근무표(입력)'!$R$3:$R$33, '근무표(입력)'!$O$3:$O$33, $M$36, '근무표(입력)'!$A$3:$A$33, $A17)</f>
        <v>0</v>
      </c>
      <c r="Q52" s="9">
        <f t="shared" si="22"/>
        <v>46068</v>
      </c>
      <c r="R52" s="7" t="str">
        <f t="shared" si="23"/>
        <v>일</v>
      </c>
      <c r="S52" s="10">
        <f>SUMIFS('근무표(입력)'!$F$3:$F$33, '근무표(입력)'!$C$3:$C$33, $Q$36, '근무표(입력)'!$A$3:$A$33, $Q52) + SUMIFS('근무표(입력)'!$J$3:$J$33, '근무표(입력)'!$G$3:$G$33, $Q$36, '근무표(입력)'!$A$3:$A$33, $A17) + SUMIFS('근무표(입력)'!$N$3:$N$33, '근무표(입력)'!$K$3:$K$33, $Q$36, '근무표(입력)'!$A$3:$A$33, $A17) + SUMIFS('근무표(입력)'!$R$3:$R$33, '근무표(입력)'!$O$3:$O$33, $Q$36, '근무표(입력)'!$A$3:$A$33, $A17)</f>
        <v>0</v>
      </c>
      <c r="U52" s="9">
        <f t="shared" si="24"/>
        <v>46068</v>
      </c>
      <c r="V52" s="7" t="str">
        <f t="shared" si="25"/>
        <v>일</v>
      </c>
      <c r="W52" s="10">
        <f>SUMIFS('근무표(입력)'!$F$3:$F$33, '근무표(입력)'!$C$3:$C$33, $U$36, '근무표(입력)'!$A$3:$A$33, $U52) + SUMIFS('근무표(입력)'!$J$3:$J$33, '근무표(입력)'!$G$3:$G$33, $U$36, '근무표(입력)'!$A$3:$A$33, $A17) + SUMIFS('근무표(입력)'!$N$3:$N$33, '근무표(입력)'!$K$3:$K$33, $U$36, '근무표(입력)'!$A$3:$A$33, $A17) + SUMIFS('근무표(입력)'!$R$3:$R$33, '근무표(입력)'!$O$3:$O$33, $U$36, '근무표(입력)'!$A$3:$A$33, $A17)</f>
        <v>0</v>
      </c>
      <c r="Y52" s="9">
        <f t="shared" si="26"/>
        <v>46068</v>
      </c>
      <c r="Z52" s="7" t="str">
        <f t="shared" si="27"/>
        <v>일</v>
      </c>
      <c r="AA52" s="10">
        <f>SUMIFS('근무표(입력)'!$F$3:$F$33, '근무표(입력)'!$C$3:$C$33, $Y$36, '근무표(입력)'!$A$3:$A$33, $Y52) + SUMIFS('근무표(입력)'!$J$3:$J$33, '근무표(입력)'!$G$3:$G$33, $Y$36, '근무표(입력)'!$A$3:$A$33, $A17) + SUMIFS('근무표(입력)'!$N$3:$N$33, '근무표(입력)'!$K$3:$K$33, $Y$36, '근무표(입력)'!$A$3:$A$33, $A17) + SUMIFS('근무표(입력)'!$R$3:$R$33, '근무표(입력)'!$O$3:$O$33, $Y$36, '근무표(입력)'!$A$3:$A$33, $A17)</f>
        <v>0</v>
      </c>
    </row>
    <row r="53" spans="1:27" x14ac:dyDescent="0.3">
      <c r="A53" s="9">
        <f t="shared" si="14"/>
        <v>46069</v>
      </c>
      <c r="B53" s="7" t="str">
        <f t="shared" si="15"/>
        <v>월</v>
      </c>
      <c r="C53" s="10">
        <f>SUMIFS('근무표(입력)'!$F$3:$F$33, '근무표(입력)'!$C$3:$C$33, $A$36, '근무표(입력)'!$A$3:$A$33, $A53) + SUMIFS('근무표(입력)'!$J$3:$J$33, '근무표(입력)'!$G$3:$G$33, $A$36, '근무표(입력)'!$A$3:$A$33, $A18) + SUMIFS('근무표(입력)'!$N$3:$N$33, '근무표(입력)'!$K$3:$K$33, $A$36, '근무표(입력)'!$A$3:$A$33, $A18) + SUMIFS('근무표(입력)'!$R$3:$R$33, '근무표(입력)'!$O$3:$O$33, $A$36, '근무표(입력)'!$A$3:$A$33, $A18)</f>
        <v>0</v>
      </c>
      <c r="E53" s="9">
        <f t="shared" si="16"/>
        <v>46069</v>
      </c>
      <c r="F53" s="7" t="str">
        <f t="shared" si="17"/>
        <v>월</v>
      </c>
      <c r="G53" s="10">
        <f>SUMIFS('근무표(입력)'!$F$3:$F$33, '근무표(입력)'!$C$3:$C$33, $E$36, '근무표(입력)'!$A$3:$A$33, $E53) + SUMIFS('근무표(입력)'!$J$3:$J$33, '근무표(입력)'!$G$3:$G$33, $E$36, '근무표(입력)'!$A$3:$A$33, $A18) + SUMIFS('근무표(입력)'!$N$3:$N$33, '근무표(입력)'!$K$3:$K$33, $E$36, '근무표(입력)'!$A$3:$A$33, $A18) + SUMIFS('근무표(입력)'!$R$3:$R$33, '근무표(입력)'!$O$3:$O$33, $E$36, '근무표(입력)'!$A$3:$A$33, $A18)</f>
        <v>0</v>
      </c>
      <c r="I53" s="9">
        <f t="shared" si="18"/>
        <v>46069</v>
      </c>
      <c r="J53" s="7" t="str">
        <f t="shared" si="19"/>
        <v>월</v>
      </c>
      <c r="K53" s="10">
        <f>SUMIFS('근무표(입력)'!$F$3:$F$33, '근무표(입력)'!$C$3:$C$33, $I$36, '근무표(입력)'!$A$3:$A$33, $I53) + SUMIFS('근무표(입력)'!$J$3:$J$33, '근무표(입력)'!$G$3:$G$33, $I$36, '근무표(입력)'!$A$3:$A$33, $A18) + SUMIFS('근무표(입력)'!$N$3:$N$33, '근무표(입력)'!$K$3:$K$33, $I$36, '근무표(입력)'!$A$3:$A$33, $A18) + SUMIFS('근무표(입력)'!$R$3:$R$33, '근무표(입력)'!$O$3:$O$33, $I$36, '근무표(입력)'!$A$3:$A$33, $A18)</f>
        <v>0</v>
      </c>
      <c r="M53" s="9">
        <f t="shared" si="20"/>
        <v>46069</v>
      </c>
      <c r="N53" s="7" t="str">
        <f t="shared" si="21"/>
        <v>월</v>
      </c>
      <c r="O53" s="10">
        <f>SUMIFS('근무표(입력)'!$F$3:$F$33, '근무표(입력)'!$C$3:$C$33, $M$36, '근무표(입력)'!$A$3:$A$33, $M53) + SUMIFS('근무표(입력)'!$J$3:$J$33, '근무표(입력)'!$G$3:$G$33, $M$36, '근무표(입력)'!$A$3:$A$33, $A18) + SUMIFS('근무표(입력)'!$N$3:$N$33, '근무표(입력)'!$K$3:$K$33, $M$36, '근무표(입력)'!$A$3:$A$33, $A18) + SUMIFS('근무표(입력)'!$R$3:$R$33, '근무표(입력)'!$O$3:$O$33, $M$36, '근무표(입력)'!$A$3:$A$33, $A18)</f>
        <v>0</v>
      </c>
      <c r="Q53" s="9">
        <f t="shared" si="22"/>
        <v>46069</v>
      </c>
      <c r="R53" s="7" t="str">
        <f t="shared" si="23"/>
        <v>월</v>
      </c>
      <c r="S53" s="10">
        <f>SUMIFS('근무표(입력)'!$F$3:$F$33, '근무표(입력)'!$C$3:$C$33, $Q$36, '근무표(입력)'!$A$3:$A$33, $Q53) + SUMIFS('근무표(입력)'!$J$3:$J$33, '근무표(입력)'!$G$3:$G$33, $Q$36, '근무표(입력)'!$A$3:$A$33, $A18) + SUMIFS('근무표(입력)'!$N$3:$N$33, '근무표(입력)'!$K$3:$K$33, $Q$36, '근무표(입력)'!$A$3:$A$33, $A18) + SUMIFS('근무표(입력)'!$R$3:$R$33, '근무표(입력)'!$O$3:$O$33, $Q$36, '근무표(입력)'!$A$3:$A$33, $A18)</f>
        <v>0</v>
      </c>
      <c r="U53" s="9">
        <f t="shared" si="24"/>
        <v>46069</v>
      </c>
      <c r="V53" s="7" t="str">
        <f t="shared" si="25"/>
        <v>월</v>
      </c>
      <c r="W53" s="10">
        <f>SUMIFS('근무표(입력)'!$F$3:$F$33, '근무표(입력)'!$C$3:$C$33, $U$36, '근무표(입력)'!$A$3:$A$33, $U53) + SUMIFS('근무표(입력)'!$J$3:$J$33, '근무표(입력)'!$G$3:$G$33, $U$36, '근무표(입력)'!$A$3:$A$33, $A18) + SUMIFS('근무표(입력)'!$N$3:$N$33, '근무표(입력)'!$K$3:$K$33, $U$36, '근무표(입력)'!$A$3:$A$33, $A18) + SUMIFS('근무표(입력)'!$R$3:$R$33, '근무표(입력)'!$O$3:$O$33, $U$36, '근무표(입력)'!$A$3:$A$33, $A18)</f>
        <v>0</v>
      </c>
      <c r="Y53" s="9">
        <f t="shared" si="26"/>
        <v>46069</v>
      </c>
      <c r="Z53" s="7" t="str">
        <f t="shared" si="27"/>
        <v>월</v>
      </c>
      <c r="AA53" s="10">
        <f>SUMIFS('근무표(입력)'!$F$3:$F$33, '근무표(입력)'!$C$3:$C$33, $Y$36, '근무표(입력)'!$A$3:$A$33, $Y53) + SUMIFS('근무표(입력)'!$J$3:$J$33, '근무표(입력)'!$G$3:$G$33, $Y$36, '근무표(입력)'!$A$3:$A$33, $A18) + SUMIFS('근무표(입력)'!$N$3:$N$33, '근무표(입력)'!$K$3:$K$33, $Y$36, '근무표(입력)'!$A$3:$A$33, $A18) + SUMIFS('근무표(입력)'!$R$3:$R$33, '근무표(입력)'!$O$3:$O$33, $Y$36, '근무표(입력)'!$A$3:$A$33, $A18)</f>
        <v>0</v>
      </c>
    </row>
    <row r="54" spans="1:27" x14ac:dyDescent="0.3">
      <c r="A54" s="9">
        <f t="shared" si="14"/>
        <v>46070</v>
      </c>
      <c r="B54" s="7" t="str">
        <f t="shared" si="15"/>
        <v>화</v>
      </c>
      <c r="C54" s="10">
        <f>SUMIFS('근무표(입력)'!$F$3:$F$33, '근무표(입력)'!$C$3:$C$33, $A$36, '근무표(입력)'!$A$3:$A$33, $A54) + SUMIFS('근무표(입력)'!$J$3:$J$33, '근무표(입력)'!$G$3:$G$33, $A$36, '근무표(입력)'!$A$3:$A$33, $A19) + SUMIFS('근무표(입력)'!$N$3:$N$33, '근무표(입력)'!$K$3:$K$33, $A$36, '근무표(입력)'!$A$3:$A$33, $A19) + SUMIFS('근무표(입력)'!$R$3:$R$33, '근무표(입력)'!$O$3:$O$33, $A$36, '근무표(입력)'!$A$3:$A$33, $A19)</f>
        <v>0</v>
      </c>
      <c r="E54" s="9">
        <f t="shared" si="16"/>
        <v>46070</v>
      </c>
      <c r="F54" s="7" t="str">
        <f t="shared" si="17"/>
        <v>화</v>
      </c>
      <c r="G54" s="10">
        <f>SUMIFS('근무표(입력)'!$F$3:$F$33, '근무표(입력)'!$C$3:$C$33, $E$36, '근무표(입력)'!$A$3:$A$33, $E54) + SUMIFS('근무표(입력)'!$J$3:$J$33, '근무표(입력)'!$G$3:$G$33, $E$36, '근무표(입력)'!$A$3:$A$33, $A19) + SUMIFS('근무표(입력)'!$N$3:$N$33, '근무표(입력)'!$K$3:$K$33, $E$36, '근무표(입력)'!$A$3:$A$33, $A19) + SUMIFS('근무표(입력)'!$R$3:$R$33, '근무표(입력)'!$O$3:$O$33, $E$36, '근무표(입력)'!$A$3:$A$33, $A19)</f>
        <v>0</v>
      </c>
      <c r="I54" s="9">
        <f t="shared" si="18"/>
        <v>46070</v>
      </c>
      <c r="J54" s="7" t="str">
        <f t="shared" si="19"/>
        <v>화</v>
      </c>
      <c r="K54" s="10">
        <f>SUMIFS('근무표(입력)'!$F$3:$F$33, '근무표(입력)'!$C$3:$C$33, $I$36, '근무표(입력)'!$A$3:$A$33, $I54) + SUMIFS('근무표(입력)'!$J$3:$J$33, '근무표(입력)'!$G$3:$G$33, $I$36, '근무표(입력)'!$A$3:$A$33, $A19) + SUMIFS('근무표(입력)'!$N$3:$N$33, '근무표(입력)'!$K$3:$K$33, $I$36, '근무표(입력)'!$A$3:$A$33, $A19) + SUMIFS('근무표(입력)'!$R$3:$R$33, '근무표(입력)'!$O$3:$O$33, $I$36, '근무표(입력)'!$A$3:$A$33, $A19)</f>
        <v>0</v>
      </c>
      <c r="M54" s="9">
        <f t="shared" si="20"/>
        <v>46070</v>
      </c>
      <c r="N54" s="7" t="str">
        <f t="shared" si="21"/>
        <v>화</v>
      </c>
      <c r="O54" s="10">
        <f>SUMIFS('근무표(입력)'!$F$3:$F$33, '근무표(입력)'!$C$3:$C$33, $M$36, '근무표(입력)'!$A$3:$A$33, $M54) + SUMIFS('근무표(입력)'!$J$3:$J$33, '근무표(입력)'!$G$3:$G$33, $M$36, '근무표(입력)'!$A$3:$A$33, $A19) + SUMIFS('근무표(입력)'!$N$3:$N$33, '근무표(입력)'!$K$3:$K$33, $M$36, '근무표(입력)'!$A$3:$A$33, $A19) + SUMIFS('근무표(입력)'!$R$3:$R$33, '근무표(입력)'!$O$3:$O$33, $M$36, '근무표(입력)'!$A$3:$A$33, $A19)</f>
        <v>0</v>
      </c>
      <c r="Q54" s="9">
        <f t="shared" si="22"/>
        <v>46070</v>
      </c>
      <c r="R54" s="7" t="str">
        <f t="shared" si="23"/>
        <v>화</v>
      </c>
      <c r="S54" s="10">
        <f>SUMIFS('근무표(입력)'!$F$3:$F$33, '근무표(입력)'!$C$3:$C$33, $Q$36, '근무표(입력)'!$A$3:$A$33, $Q54) + SUMIFS('근무표(입력)'!$J$3:$J$33, '근무표(입력)'!$G$3:$G$33, $Q$36, '근무표(입력)'!$A$3:$A$33, $A19) + SUMIFS('근무표(입력)'!$N$3:$N$33, '근무표(입력)'!$K$3:$K$33, $Q$36, '근무표(입력)'!$A$3:$A$33, $A19) + SUMIFS('근무표(입력)'!$R$3:$R$33, '근무표(입력)'!$O$3:$O$33, $Q$36, '근무표(입력)'!$A$3:$A$33, $A19)</f>
        <v>0</v>
      </c>
      <c r="U54" s="9">
        <f t="shared" si="24"/>
        <v>46070</v>
      </c>
      <c r="V54" s="7" t="str">
        <f t="shared" si="25"/>
        <v>화</v>
      </c>
      <c r="W54" s="10">
        <f>SUMIFS('근무표(입력)'!$F$3:$F$33, '근무표(입력)'!$C$3:$C$33, $U$36, '근무표(입력)'!$A$3:$A$33, $U54) + SUMIFS('근무표(입력)'!$J$3:$J$33, '근무표(입력)'!$G$3:$G$33, $U$36, '근무표(입력)'!$A$3:$A$33, $A19) + SUMIFS('근무표(입력)'!$N$3:$N$33, '근무표(입력)'!$K$3:$K$33, $U$36, '근무표(입력)'!$A$3:$A$33, $A19) + SUMIFS('근무표(입력)'!$R$3:$R$33, '근무표(입력)'!$O$3:$O$33, $U$36, '근무표(입력)'!$A$3:$A$33, $A19)</f>
        <v>0</v>
      </c>
      <c r="Y54" s="9">
        <f t="shared" si="26"/>
        <v>46070</v>
      </c>
      <c r="Z54" s="7" t="str">
        <f t="shared" si="27"/>
        <v>화</v>
      </c>
      <c r="AA54" s="10">
        <f>SUMIFS('근무표(입력)'!$F$3:$F$33, '근무표(입력)'!$C$3:$C$33, $Y$36, '근무표(입력)'!$A$3:$A$33, $Y54) + SUMIFS('근무표(입력)'!$J$3:$J$33, '근무표(입력)'!$G$3:$G$33, $Y$36, '근무표(입력)'!$A$3:$A$33, $A19) + SUMIFS('근무표(입력)'!$N$3:$N$33, '근무표(입력)'!$K$3:$K$33, $Y$36, '근무표(입력)'!$A$3:$A$33, $A19) + SUMIFS('근무표(입력)'!$R$3:$R$33, '근무표(입력)'!$O$3:$O$33, $Y$36, '근무표(입력)'!$A$3:$A$33, $A19)</f>
        <v>0</v>
      </c>
    </row>
    <row r="55" spans="1:27" x14ac:dyDescent="0.3">
      <c r="A55" s="9">
        <f t="shared" si="14"/>
        <v>46071</v>
      </c>
      <c r="B55" s="7" t="str">
        <f t="shared" si="15"/>
        <v>수</v>
      </c>
      <c r="C55" s="10">
        <f>SUMIFS('근무표(입력)'!$F$3:$F$33, '근무표(입력)'!$C$3:$C$33, $A$36, '근무표(입력)'!$A$3:$A$33, $A55) + SUMIFS('근무표(입력)'!$J$3:$J$33, '근무표(입력)'!$G$3:$G$33, $A$36, '근무표(입력)'!$A$3:$A$33, $A20) + SUMIFS('근무표(입력)'!$N$3:$N$33, '근무표(입력)'!$K$3:$K$33, $A$36, '근무표(입력)'!$A$3:$A$33, $A20) + SUMIFS('근무표(입력)'!$R$3:$R$33, '근무표(입력)'!$O$3:$O$33, $A$36, '근무표(입력)'!$A$3:$A$33, $A20)</f>
        <v>0</v>
      </c>
      <c r="E55" s="9">
        <f t="shared" si="16"/>
        <v>46071</v>
      </c>
      <c r="F55" s="7" t="str">
        <f t="shared" si="17"/>
        <v>수</v>
      </c>
      <c r="G55" s="10">
        <f>SUMIFS('근무표(입력)'!$F$3:$F$33, '근무표(입력)'!$C$3:$C$33, $E$36, '근무표(입력)'!$A$3:$A$33, $E55) + SUMIFS('근무표(입력)'!$J$3:$J$33, '근무표(입력)'!$G$3:$G$33, $E$36, '근무표(입력)'!$A$3:$A$33, $A20) + SUMIFS('근무표(입력)'!$N$3:$N$33, '근무표(입력)'!$K$3:$K$33, $E$36, '근무표(입력)'!$A$3:$A$33, $A20) + SUMIFS('근무표(입력)'!$R$3:$R$33, '근무표(입력)'!$O$3:$O$33, $E$36, '근무표(입력)'!$A$3:$A$33, $A20)</f>
        <v>0</v>
      </c>
      <c r="I55" s="9">
        <f t="shared" si="18"/>
        <v>46071</v>
      </c>
      <c r="J55" s="7" t="str">
        <f t="shared" si="19"/>
        <v>수</v>
      </c>
      <c r="K55" s="10">
        <f>SUMIFS('근무표(입력)'!$F$3:$F$33, '근무표(입력)'!$C$3:$C$33, $I$36, '근무표(입력)'!$A$3:$A$33, $I55) + SUMIFS('근무표(입력)'!$J$3:$J$33, '근무표(입력)'!$G$3:$G$33, $I$36, '근무표(입력)'!$A$3:$A$33, $A20) + SUMIFS('근무표(입력)'!$N$3:$N$33, '근무표(입력)'!$K$3:$K$33, $I$36, '근무표(입력)'!$A$3:$A$33, $A20) + SUMIFS('근무표(입력)'!$R$3:$R$33, '근무표(입력)'!$O$3:$O$33, $I$36, '근무표(입력)'!$A$3:$A$33, $A20)</f>
        <v>0</v>
      </c>
      <c r="M55" s="9">
        <f t="shared" si="20"/>
        <v>46071</v>
      </c>
      <c r="N55" s="7" t="str">
        <f t="shared" si="21"/>
        <v>수</v>
      </c>
      <c r="O55" s="10">
        <f>SUMIFS('근무표(입력)'!$F$3:$F$33, '근무표(입력)'!$C$3:$C$33, $M$36, '근무표(입력)'!$A$3:$A$33, $M55) + SUMIFS('근무표(입력)'!$J$3:$J$33, '근무표(입력)'!$G$3:$G$33, $M$36, '근무표(입력)'!$A$3:$A$33, $A20) + SUMIFS('근무표(입력)'!$N$3:$N$33, '근무표(입력)'!$K$3:$K$33, $M$36, '근무표(입력)'!$A$3:$A$33, $A20) + SUMIFS('근무표(입력)'!$R$3:$R$33, '근무표(입력)'!$O$3:$O$33, $M$36, '근무표(입력)'!$A$3:$A$33, $A20)</f>
        <v>0</v>
      </c>
      <c r="Q55" s="9">
        <f t="shared" si="22"/>
        <v>46071</v>
      </c>
      <c r="R55" s="7" t="str">
        <f t="shared" si="23"/>
        <v>수</v>
      </c>
      <c r="S55" s="10">
        <f>SUMIFS('근무표(입력)'!$F$3:$F$33, '근무표(입력)'!$C$3:$C$33, $Q$36, '근무표(입력)'!$A$3:$A$33, $Q55) + SUMIFS('근무표(입력)'!$J$3:$J$33, '근무표(입력)'!$G$3:$G$33, $Q$36, '근무표(입력)'!$A$3:$A$33, $A20) + SUMIFS('근무표(입력)'!$N$3:$N$33, '근무표(입력)'!$K$3:$K$33, $Q$36, '근무표(입력)'!$A$3:$A$33, $A20) + SUMIFS('근무표(입력)'!$R$3:$R$33, '근무표(입력)'!$O$3:$O$33, $Q$36, '근무표(입력)'!$A$3:$A$33, $A20)</f>
        <v>0</v>
      </c>
      <c r="U55" s="9">
        <f t="shared" si="24"/>
        <v>46071</v>
      </c>
      <c r="V55" s="7" t="str">
        <f t="shared" si="25"/>
        <v>수</v>
      </c>
      <c r="W55" s="10">
        <f>SUMIFS('근무표(입력)'!$F$3:$F$33, '근무표(입력)'!$C$3:$C$33, $U$36, '근무표(입력)'!$A$3:$A$33, $U55) + SUMIFS('근무표(입력)'!$J$3:$J$33, '근무표(입력)'!$G$3:$G$33, $U$36, '근무표(입력)'!$A$3:$A$33, $A20) + SUMIFS('근무표(입력)'!$N$3:$N$33, '근무표(입력)'!$K$3:$K$33, $U$36, '근무표(입력)'!$A$3:$A$33, $A20) + SUMIFS('근무표(입력)'!$R$3:$R$33, '근무표(입력)'!$O$3:$O$33, $U$36, '근무표(입력)'!$A$3:$A$33, $A20)</f>
        <v>0</v>
      </c>
      <c r="Y55" s="9">
        <f t="shared" si="26"/>
        <v>46071</v>
      </c>
      <c r="Z55" s="7" t="str">
        <f t="shared" si="27"/>
        <v>수</v>
      </c>
      <c r="AA55" s="10">
        <f>SUMIFS('근무표(입력)'!$F$3:$F$33, '근무표(입력)'!$C$3:$C$33, $Y$36, '근무표(입력)'!$A$3:$A$33, $Y55) + SUMIFS('근무표(입력)'!$J$3:$J$33, '근무표(입력)'!$G$3:$G$33, $Y$36, '근무표(입력)'!$A$3:$A$33, $A20) + SUMIFS('근무표(입력)'!$N$3:$N$33, '근무표(입력)'!$K$3:$K$33, $Y$36, '근무표(입력)'!$A$3:$A$33, $A20) + SUMIFS('근무표(입력)'!$R$3:$R$33, '근무표(입력)'!$O$3:$O$33, $Y$36, '근무표(입력)'!$A$3:$A$33, $A20)</f>
        <v>0</v>
      </c>
    </row>
    <row r="56" spans="1:27" x14ac:dyDescent="0.3">
      <c r="A56" s="9">
        <f t="shared" si="14"/>
        <v>46072</v>
      </c>
      <c r="B56" s="7" t="str">
        <f t="shared" si="15"/>
        <v>목</v>
      </c>
      <c r="C56" s="10">
        <f>SUMIFS('근무표(입력)'!$F$3:$F$33, '근무표(입력)'!$C$3:$C$33, $A$36, '근무표(입력)'!$A$3:$A$33, $A56) + SUMIFS('근무표(입력)'!$J$3:$J$33, '근무표(입력)'!$G$3:$G$33, $A$36, '근무표(입력)'!$A$3:$A$33, $A21) + SUMIFS('근무표(입력)'!$N$3:$N$33, '근무표(입력)'!$K$3:$K$33, $A$36, '근무표(입력)'!$A$3:$A$33, $A21) + SUMIFS('근무표(입력)'!$R$3:$R$33, '근무표(입력)'!$O$3:$O$33, $A$36, '근무표(입력)'!$A$3:$A$33, $A21)</f>
        <v>0</v>
      </c>
      <c r="E56" s="9">
        <f t="shared" si="16"/>
        <v>46072</v>
      </c>
      <c r="F56" s="7" t="str">
        <f t="shared" si="17"/>
        <v>목</v>
      </c>
      <c r="G56" s="10">
        <f>SUMIFS('근무표(입력)'!$F$3:$F$33, '근무표(입력)'!$C$3:$C$33, $E$36, '근무표(입력)'!$A$3:$A$33, $E56) + SUMIFS('근무표(입력)'!$J$3:$J$33, '근무표(입력)'!$G$3:$G$33, $E$36, '근무표(입력)'!$A$3:$A$33, $A21) + SUMIFS('근무표(입력)'!$N$3:$N$33, '근무표(입력)'!$K$3:$K$33, $E$36, '근무표(입력)'!$A$3:$A$33, $A21) + SUMIFS('근무표(입력)'!$R$3:$R$33, '근무표(입력)'!$O$3:$O$33, $E$36, '근무표(입력)'!$A$3:$A$33, $A21)</f>
        <v>0</v>
      </c>
      <c r="I56" s="9">
        <f t="shared" si="18"/>
        <v>46072</v>
      </c>
      <c r="J56" s="7" t="str">
        <f t="shared" si="19"/>
        <v>목</v>
      </c>
      <c r="K56" s="10">
        <f>SUMIFS('근무표(입력)'!$F$3:$F$33, '근무표(입력)'!$C$3:$C$33, $I$36, '근무표(입력)'!$A$3:$A$33, $I56) + SUMIFS('근무표(입력)'!$J$3:$J$33, '근무표(입력)'!$G$3:$G$33, $I$36, '근무표(입력)'!$A$3:$A$33, $A21) + SUMIFS('근무표(입력)'!$N$3:$N$33, '근무표(입력)'!$K$3:$K$33, $I$36, '근무표(입력)'!$A$3:$A$33, $A21) + SUMIFS('근무표(입력)'!$R$3:$R$33, '근무표(입력)'!$O$3:$O$33, $I$36, '근무표(입력)'!$A$3:$A$33, $A21)</f>
        <v>0</v>
      </c>
      <c r="M56" s="9">
        <f t="shared" si="20"/>
        <v>46072</v>
      </c>
      <c r="N56" s="7" t="str">
        <f t="shared" si="21"/>
        <v>목</v>
      </c>
      <c r="O56" s="10">
        <f>SUMIFS('근무표(입력)'!$F$3:$F$33, '근무표(입력)'!$C$3:$C$33, $M$36, '근무표(입력)'!$A$3:$A$33, $M56) + SUMIFS('근무표(입력)'!$J$3:$J$33, '근무표(입력)'!$G$3:$G$33, $M$36, '근무표(입력)'!$A$3:$A$33, $A21) + SUMIFS('근무표(입력)'!$N$3:$N$33, '근무표(입력)'!$K$3:$K$33, $M$36, '근무표(입력)'!$A$3:$A$33, $A21) + SUMIFS('근무표(입력)'!$R$3:$R$33, '근무표(입력)'!$O$3:$O$33, $M$36, '근무표(입력)'!$A$3:$A$33, $A21)</f>
        <v>0</v>
      </c>
      <c r="Q56" s="9">
        <f t="shared" si="22"/>
        <v>46072</v>
      </c>
      <c r="R56" s="7" t="str">
        <f t="shared" si="23"/>
        <v>목</v>
      </c>
      <c r="S56" s="10">
        <f>SUMIFS('근무표(입력)'!$F$3:$F$33, '근무표(입력)'!$C$3:$C$33, $Q$36, '근무표(입력)'!$A$3:$A$33, $Q56) + SUMIFS('근무표(입력)'!$J$3:$J$33, '근무표(입력)'!$G$3:$G$33, $Q$36, '근무표(입력)'!$A$3:$A$33, $A21) + SUMIFS('근무표(입력)'!$N$3:$N$33, '근무표(입력)'!$K$3:$K$33, $Q$36, '근무표(입력)'!$A$3:$A$33, $A21) + SUMIFS('근무표(입력)'!$R$3:$R$33, '근무표(입력)'!$O$3:$O$33, $Q$36, '근무표(입력)'!$A$3:$A$33, $A21)</f>
        <v>0</v>
      </c>
      <c r="U56" s="9">
        <f t="shared" si="24"/>
        <v>46072</v>
      </c>
      <c r="V56" s="7" t="str">
        <f t="shared" si="25"/>
        <v>목</v>
      </c>
      <c r="W56" s="10">
        <f>SUMIFS('근무표(입력)'!$F$3:$F$33, '근무표(입력)'!$C$3:$C$33, $U$36, '근무표(입력)'!$A$3:$A$33, $U56) + SUMIFS('근무표(입력)'!$J$3:$J$33, '근무표(입력)'!$G$3:$G$33, $U$36, '근무표(입력)'!$A$3:$A$33, $A21) + SUMIFS('근무표(입력)'!$N$3:$N$33, '근무표(입력)'!$K$3:$K$33, $U$36, '근무표(입력)'!$A$3:$A$33, $A21) + SUMIFS('근무표(입력)'!$R$3:$R$33, '근무표(입력)'!$O$3:$O$33, $U$36, '근무표(입력)'!$A$3:$A$33, $A21)</f>
        <v>0</v>
      </c>
      <c r="Y56" s="9">
        <f t="shared" si="26"/>
        <v>46072</v>
      </c>
      <c r="Z56" s="7" t="str">
        <f t="shared" si="27"/>
        <v>목</v>
      </c>
      <c r="AA56" s="10">
        <f>SUMIFS('근무표(입력)'!$F$3:$F$33, '근무표(입력)'!$C$3:$C$33, $Y$36, '근무표(입력)'!$A$3:$A$33, $Y56) + SUMIFS('근무표(입력)'!$J$3:$J$33, '근무표(입력)'!$G$3:$G$33, $Y$36, '근무표(입력)'!$A$3:$A$33, $A21) + SUMIFS('근무표(입력)'!$N$3:$N$33, '근무표(입력)'!$K$3:$K$33, $Y$36, '근무표(입력)'!$A$3:$A$33, $A21) + SUMIFS('근무표(입력)'!$R$3:$R$33, '근무표(입력)'!$O$3:$O$33, $Y$36, '근무표(입력)'!$A$3:$A$33, $A21)</f>
        <v>0</v>
      </c>
    </row>
    <row r="57" spans="1:27" x14ac:dyDescent="0.3">
      <c r="A57" s="9">
        <f t="shared" si="14"/>
        <v>46073</v>
      </c>
      <c r="B57" s="7" t="str">
        <f t="shared" si="15"/>
        <v>금</v>
      </c>
      <c r="C57" s="10">
        <f>SUMIFS('근무표(입력)'!$F$3:$F$33, '근무표(입력)'!$C$3:$C$33, $A$36, '근무표(입력)'!$A$3:$A$33, $A57) + SUMIFS('근무표(입력)'!$J$3:$J$33, '근무표(입력)'!$G$3:$G$33, $A$36, '근무표(입력)'!$A$3:$A$33, $A22) + SUMIFS('근무표(입력)'!$N$3:$N$33, '근무표(입력)'!$K$3:$K$33, $A$36, '근무표(입력)'!$A$3:$A$33, $A22) + SUMIFS('근무표(입력)'!$R$3:$R$33, '근무표(입력)'!$O$3:$O$33, $A$36, '근무표(입력)'!$A$3:$A$33, $A22)</f>
        <v>0</v>
      </c>
      <c r="E57" s="9">
        <f t="shared" si="16"/>
        <v>46073</v>
      </c>
      <c r="F57" s="7" t="str">
        <f t="shared" si="17"/>
        <v>금</v>
      </c>
      <c r="G57" s="10">
        <f>SUMIFS('근무표(입력)'!$F$3:$F$33, '근무표(입력)'!$C$3:$C$33, $E$36, '근무표(입력)'!$A$3:$A$33, $E57) + SUMIFS('근무표(입력)'!$J$3:$J$33, '근무표(입력)'!$G$3:$G$33, $E$36, '근무표(입력)'!$A$3:$A$33, $A22) + SUMIFS('근무표(입력)'!$N$3:$N$33, '근무표(입력)'!$K$3:$K$33, $E$36, '근무표(입력)'!$A$3:$A$33, $A22) + SUMIFS('근무표(입력)'!$R$3:$R$33, '근무표(입력)'!$O$3:$O$33, $E$36, '근무표(입력)'!$A$3:$A$33, $A22)</f>
        <v>0</v>
      </c>
      <c r="I57" s="9">
        <f t="shared" si="18"/>
        <v>46073</v>
      </c>
      <c r="J57" s="7" t="str">
        <f t="shared" si="19"/>
        <v>금</v>
      </c>
      <c r="K57" s="10">
        <f>SUMIFS('근무표(입력)'!$F$3:$F$33, '근무표(입력)'!$C$3:$C$33, $I$36, '근무표(입력)'!$A$3:$A$33, $I57) + SUMIFS('근무표(입력)'!$J$3:$J$33, '근무표(입력)'!$G$3:$G$33, $I$36, '근무표(입력)'!$A$3:$A$33, $A22) + SUMIFS('근무표(입력)'!$N$3:$N$33, '근무표(입력)'!$K$3:$K$33, $I$36, '근무표(입력)'!$A$3:$A$33, $A22) + SUMIFS('근무표(입력)'!$R$3:$R$33, '근무표(입력)'!$O$3:$O$33, $I$36, '근무표(입력)'!$A$3:$A$33, $A22)</f>
        <v>0</v>
      </c>
      <c r="M57" s="9">
        <f t="shared" si="20"/>
        <v>46073</v>
      </c>
      <c r="N57" s="7" t="str">
        <f t="shared" si="21"/>
        <v>금</v>
      </c>
      <c r="O57" s="10">
        <f>SUMIFS('근무표(입력)'!$F$3:$F$33, '근무표(입력)'!$C$3:$C$33, $M$36, '근무표(입력)'!$A$3:$A$33, $M57) + SUMIFS('근무표(입력)'!$J$3:$J$33, '근무표(입력)'!$G$3:$G$33, $M$36, '근무표(입력)'!$A$3:$A$33, $A22) + SUMIFS('근무표(입력)'!$N$3:$N$33, '근무표(입력)'!$K$3:$K$33, $M$36, '근무표(입력)'!$A$3:$A$33, $A22) + SUMIFS('근무표(입력)'!$R$3:$R$33, '근무표(입력)'!$O$3:$O$33, $M$36, '근무표(입력)'!$A$3:$A$33, $A22)</f>
        <v>0</v>
      </c>
      <c r="Q57" s="9">
        <f t="shared" si="22"/>
        <v>46073</v>
      </c>
      <c r="R57" s="7" t="str">
        <f t="shared" si="23"/>
        <v>금</v>
      </c>
      <c r="S57" s="10">
        <f>SUMIFS('근무표(입력)'!$F$3:$F$33, '근무표(입력)'!$C$3:$C$33, $Q$36, '근무표(입력)'!$A$3:$A$33, $Q57) + SUMIFS('근무표(입력)'!$J$3:$J$33, '근무표(입력)'!$G$3:$G$33, $Q$36, '근무표(입력)'!$A$3:$A$33, $A22) + SUMIFS('근무표(입력)'!$N$3:$N$33, '근무표(입력)'!$K$3:$K$33, $Q$36, '근무표(입력)'!$A$3:$A$33, $A22) + SUMIFS('근무표(입력)'!$R$3:$R$33, '근무표(입력)'!$O$3:$O$33, $Q$36, '근무표(입력)'!$A$3:$A$33, $A22)</f>
        <v>0</v>
      </c>
      <c r="U57" s="9">
        <f t="shared" si="24"/>
        <v>46073</v>
      </c>
      <c r="V57" s="7" t="str">
        <f t="shared" si="25"/>
        <v>금</v>
      </c>
      <c r="W57" s="10">
        <f>SUMIFS('근무표(입력)'!$F$3:$F$33, '근무표(입력)'!$C$3:$C$33, $U$36, '근무표(입력)'!$A$3:$A$33, $U57) + SUMIFS('근무표(입력)'!$J$3:$J$33, '근무표(입력)'!$G$3:$G$33, $U$36, '근무표(입력)'!$A$3:$A$33, $A22) + SUMIFS('근무표(입력)'!$N$3:$N$33, '근무표(입력)'!$K$3:$K$33, $U$36, '근무표(입력)'!$A$3:$A$33, $A22) + SUMIFS('근무표(입력)'!$R$3:$R$33, '근무표(입력)'!$O$3:$O$33, $U$36, '근무표(입력)'!$A$3:$A$33, $A22)</f>
        <v>0</v>
      </c>
      <c r="Y57" s="9">
        <f t="shared" si="26"/>
        <v>46073</v>
      </c>
      <c r="Z57" s="7" t="str">
        <f t="shared" si="27"/>
        <v>금</v>
      </c>
      <c r="AA57" s="10">
        <f>SUMIFS('근무표(입력)'!$F$3:$F$33, '근무표(입력)'!$C$3:$C$33, $Y$36, '근무표(입력)'!$A$3:$A$33, $Y57) + SUMIFS('근무표(입력)'!$J$3:$J$33, '근무표(입력)'!$G$3:$G$33, $Y$36, '근무표(입력)'!$A$3:$A$33, $A22) + SUMIFS('근무표(입력)'!$N$3:$N$33, '근무표(입력)'!$K$3:$K$33, $Y$36, '근무표(입력)'!$A$3:$A$33, $A22) + SUMIFS('근무표(입력)'!$R$3:$R$33, '근무표(입력)'!$O$3:$O$33, $Y$36, '근무표(입력)'!$A$3:$A$33, $A22)</f>
        <v>0</v>
      </c>
    </row>
    <row r="58" spans="1:27" x14ac:dyDescent="0.3">
      <c r="A58" s="9">
        <f t="shared" si="14"/>
        <v>46074</v>
      </c>
      <c r="B58" s="7" t="str">
        <f t="shared" si="15"/>
        <v>토</v>
      </c>
      <c r="C58" s="10">
        <f>SUMIFS('근무표(입력)'!$F$3:$F$33, '근무표(입력)'!$C$3:$C$33, $A$36, '근무표(입력)'!$A$3:$A$33, $A58) + SUMIFS('근무표(입력)'!$J$3:$J$33, '근무표(입력)'!$G$3:$G$33, $A$36, '근무표(입력)'!$A$3:$A$33, $A23) + SUMIFS('근무표(입력)'!$N$3:$N$33, '근무표(입력)'!$K$3:$K$33, $A$36, '근무표(입력)'!$A$3:$A$33, $A23) + SUMIFS('근무표(입력)'!$R$3:$R$33, '근무표(입력)'!$O$3:$O$33, $A$36, '근무표(입력)'!$A$3:$A$33, $A23)</f>
        <v>0</v>
      </c>
      <c r="E58" s="9">
        <f t="shared" si="16"/>
        <v>46074</v>
      </c>
      <c r="F58" s="7" t="str">
        <f t="shared" si="17"/>
        <v>토</v>
      </c>
      <c r="G58" s="10">
        <f>SUMIFS('근무표(입력)'!$F$3:$F$33, '근무표(입력)'!$C$3:$C$33, $E$36, '근무표(입력)'!$A$3:$A$33, $E58) + SUMIFS('근무표(입력)'!$J$3:$J$33, '근무표(입력)'!$G$3:$G$33, $E$36, '근무표(입력)'!$A$3:$A$33, $A23) + SUMIFS('근무표(입력)'!$N$3:$N$33, '근무표(입력)'!$K$3:$K$33, $E$36, '근무표(입력)'!$A$3:$A$33, $A23) + SUMIFS('근무표(입력)'!$R$3:$R$33, '근무표(입력)'!$O$3:$O$33, $E$36, '근무표(입력)'!$A$3:$A$33, $A23)</f>
        <v>0</v>
      </c>
      <c r="I58" s="9">
        <f t="shared" si="18"/>
        <v>46074</v>
      </c>
      <c r="J58" s="7" t="str">
        <f t="shared" si="19"/>
        <v>토</v>
      </c>
      <c r="K58" s="10">
        <f>SUMIFS('근무표(입력)'!$F$3:$F$33, '근무표(입력)'!$C$3:$C$33, $I$36, '근무표(입력)'!$A$3:$A$33, $I58) + SUMIFS('근무표(입력)'!$J$3:$J$33, '근무표(입력)'!$G$3:$G$33, $I$36, '근무표(입력)'!$A$3:$A$33, $A23) + SUMIFS('근무표(입력)'!$N$3:$N$33, '근무표(입력)'!$K$3:$K$33, $I$36, '근무표(입력)'!$A$3:$A$33, $A23) + SUMIFS('근무표(입력)'!$R$3:$R$33, '근무표(입력)'!$O$3:$O$33, $I$36, '근무표(입력)'!$A$3:$A$33, $A23)</f>
        <v>0</v>
      </c>
      <c r="M58" s="9">
        <f t="shared" si="20"/>
        <v>46074</v>
      </c>
      <c r="N58" s="7" t="str">
        <f t="shared" si="21"/>
        <v>토</v>
      </c>
      <c r="O58" s="10">
        <f>SUMIFS('근무표(입력)'!$F$3:$F$33, '근무표(입력)'!$C$3:$C$33, $M$36, '근무표(입력)'!$A$3:$A$33, $M58) + SUMIFS('근무표(입력)'!$J$3:$J$33, '근무표(입력)'!$G$3:$G$33, $M$36, '근무표(입력)'!$A$3:$A$33, $A23) + SUMIFS('근무표(입력)'!$N$3:$N$33, '근무표(입력)'!$K$3:$K$33, $M$36, '근무표(입력)'!$A$3:$A$33, $A23) + SUMIFS('근무표(입력)'!$R$3:$R$33, '근무표(입력)'!$O$3:$O$33, $M$36, '근무표(입력)'!$A$3:$A$33, $A23)</f>
        <v>0</v>
      </c>
      <c r="Q58" s="9">
        <f t="shared" si="22"/>
        <v>46074</v>
      </c>
      <c r="R58" s="7" t="str">
        <f t="shared" si="23"/>
        <v>토</v>
      </c>
      <c r="S58" s="10">
        <f>SUMIFS('근무표(입력)'!$F$3:$F$33, '근무표(입력)'!$C$3:$C$33, $Q$36, '근무표(입력)'!$A$3:$A$33, $Q58) + SUMIFS('근무표(입력)'!$J$3:$J$33, '근무표(입력)'!$G$3:$G$33, $Q$36, '근무표(입력)'!$A$3:$A$33, $A23) + SUMIFS('근무표(입력)'!$N$3:$N$33, '근무표(입력)'!$K$3:$K$33, $Q$36, '근무표(입력)'!$A$3:$A$33, $A23) + SUMIFS('근무표(입력)'!$R$3:$R$33, '근무표(입력)'!$O$3:$O$33, $Q$36, '근무표(입력)'!$A$3:$A$33, $A23)</f>
        <v>0</v>
      </c>
      <c r="U58" s="9">
        <f t="shared" si="24"/>
        <v>46074</v>
      </c>
      <c r="V58" s="7" t="str">
        <f t="shared" si="25"/>
        <v>토</v>
      </c>
      <c r="W58" s="10">
        <f>SUMIFS('근무표(입력)'!$F$3:$F$33, '근무표(입력)'!$C$3:$C$33, $U$36, '근무표(입력)'!$A$3:$A$33, $U58) + SUMIFS('근무표(입력)'!$J$3:$J$33, '근무표(입력)'!$G$3:$G$33, $U$36, '근무표(입력)'!$A$3:$A$33, $A23) + SUMIFS('근무표(입력)'!$N$3:$N$33, '근무표(입력)'!$K$3:$K$33, $U$36, '근무표(입력)'!$A$3:$A$33, $A23) + SUMIFS('근무표(입력)'!$R$3:$R$33, '근무표(입력)'!$O$3:$O$33, $U$36, '근무표(입력)'!$A$3:$A$33, $A23)</f>
        <v>0</v>
      </c>
      <c r="Y58" s="9">
        <f t="shared" si="26"/>
        <v>46074</v>
      </c>
      <c r="Z58" s="7" t="str">
        <f t="shared" si="27"/>
        <v>토</v>
      </c>
      <c r="AA58" s="10">
        <f>SUMIFS('근무표(입력)'!$F$3:$F$33, '근무표(입력)'!$C$3:$C$33, $Y$36, '근무표(입력)'!$A$3:$A$33, $Y58) + SUMIFS('근무표(입력)'!$J$3:$J$33, '근무표(입력)'!$G$3:$G$33, $Y$36, '근무표(입력)'!$A$3:$A$33, $A23) + SUMIFS('근무표(입력)'!$N$3:$N$33, '근무표(입력)'!$K$3:$K$33, $Y$36, '근무표(입력)'!$A$3:$A$33, $A23) + SUMIFS('근무표(입력)'!$R$3:$R$33, '근무표(입력)'!$O$3:$O$33, $Y$36, '근무표(입력)'!$A$3:$A$33, $A23)</f>
        <v>0</v>
      </c>
    </row>
    <row r="59" spans="1:27" x14ac:dyDescent="0.3">
      <c r="A59" s="9">
        <f t="shared" si="14"/>
        <v>46075</v>
      </c>
      <c r="B59" s="7" t="str">
        <f t="shared" si="15"/>
        <v>일</v>
      </c>
      <c r="C59" s="10">
        <f>SUMIFS('근무표(입력)'!$F$3:$F$33, '근무표(입력)'!$C$3:$C$33, $A$36, '근무표(입력)'!$A$3:$A$33, $A59) + SUMIFS('근무표(입력)'!$J$3:$J$33, '근무표(입력)'!$G$3:$G$33, $A$36, '근무표(입력)'!$A$3:$A$33, $A24) + SUMIFS('근무표(입력)'!$N$3:$N$33, '근무표(입력)'!$K$3:$K$33, $A$36, '근무표(입력)'!$A$3:$A$33, $A24) + SUMIFS('근무표(입력)'!$R$3:$R$33, '근무표(입력)'!$O$3:$O$33, $A$36, '근무표(입력)'!$A$3:$A$33, $A24)</f>
        <v>0</v>
      </c>
      <c r="E59" s="9">
        <f t="shared" si="16"/>
        <v>46075</v>
      </c>
      <c r="F59" s="7" t="str">
        <f t="shared" si="17"/>
        <v>일</v>
      </c>
      <c r="G59" s="10">
        <f>SUMIFS('근무표(입력)'!$F$3:$F$33, '근무표(입력)'!$C$3:$C$33, $E$36, '근무표(입력)'!$A$3:$A$33, $E59) + SUMIFS('근무표(입력)'!$J$3:$J$33, '근무표(입력)'!$G$3:$G$33, $E$36, '근무표(입력)'!$A$3:$A$33, $A24) + SUMIFS('근무표(입력)'!$N$3:$N$33, '근무표(입력)'!$K$3:$K$33, $E$36, '근무표(입력)'!$A$3:$A$33, $A24) + SUMIFS('근무표(입력)'!$R$3:$R$33, '근무표(입력)'!$O$3:$O$33, $E$36, '근무표(입력)'!$A$3:$A$33, $A24)</f>
        <v>0</v>
      </c>
      <c r="I59" s="9">
        <f t="shared" si="18"/>
        <v>46075</v>
      </c>
      <c r="J59" s="7" t="str">
        <f t="shared" si="19"/>
        <v>일</v>
      </c>
      <c r="K59" s="10">
        <f>SUMIFS('근무표(입력)'!$F$3:$F$33, '근무표(입력)'!$C$3:$C$33, $I$36, '근무표(입력)'!$A$3:$A$33, $I59) + SUMIFS('근무표(입력)'!$J$3:$J$33, '근무표(입력)'!$G$3:$G$33, $I$36, '근무표(입력)'!$A$3:$A$33, $A24) + SUMIFS('근무표(입력)'!$N$3:$N$33, '근무표(입력)'!$K$3:$K$33, $I$36, '근무표(입력)'!$A$3:$A$33, $A24) + SUMIFS('근무표(입력)'!$R$3:$R$33, '근무표(입력)'!$O$3:$O$33, $I$36, '근무표(입력)'!$A$3:$A$33, $A24)</f>
        <v>0</v>
      </c>
      <c r="M59" s="9">
        <f t="shared" si="20"/>
        <v>46075</v>
      </c>
      <c r="N59" s="7" t="str">
        <f t="shared" si="21"/>
        <v>일</v>
      </c>
      <c r="O59" s="10">
        <f>SUMIFS('근무표(입력)'!$F$3:$F$33, '근무표(입력)'!$C$3:$C$33, $M$36, '근무표(입력)'!$A$3:$A$33, $M59) + SUMIFS('근무표(입력)'!$J$3:$J$33, '근무표(입력)'!$G$3:$G$33, $M$36, '근무표(입력)'!$A$3:$A$33, $A24) + SUMIFS('근무표(입력)'!$N$3:$N$33, '근무표(입력)'!$K$3:$K$33, $M$36, '근무표(입력)'!$A$3:$A$33, $A24) + SUMIFS('근무표(입력)'!$R$3:$R$33, '근무표(입력)'!$O$3:$O$33, $M$36, '근무표(입력)'!$A$3:$A$33, $A24)</f>
        <v>0</v>
      </c>
      <c r="Q59" s="9">
        <f t="shared" si="22"/>
        <v>46075</v>
      </c>
      <c r="R59" s="7" t="str">
        <f t="shared" si="23"/>
        <v>일</v>
      </c>
      <c r="S59" s="10">
        <f>SUMIFS('근무표(입력)'!$F$3:$F$33, '근무표(입력)'!$C$3:$C$33, $Q$36, '근무표(입력)'!$A$3:$A$33, $Q59) + SUMIFS('근무표(입력)'!$J$3:$J$33, '근무표(입력)'!$G$3:$G$33, $Q$36, '근무표(입력)'!$A$3:$A$33, $A24) + SUMIFS('근무표(입력)'!$N$3:$N$33, '근무표(입력)'!$K$3:$K$33, $Q$36, '근무표(입력)'!$A$3:$A$33, $A24) + SUMIFS('근무표(입력)'!$R$3:$R$33, '근무표(입력)'!$O$3:$O$33, $Q$36, '근무표(입력)'!$A$3:$A$33, $A24)</f>
        <v>0</v>
      </c>
      <c r="U59" s="9">
        <f t="shared" si="24"/>
        <v>46075</v>
      </c>
      <c r="V59" s="7" t="str">
        <f t="shared" si="25"/>
        <v>일</v>
      </c>
      <c r="W59" s="10">
        <f>SUMIFS('근무표(입력)'!$F$3:$F$33, '근무표(입력)'!$C$3:$C$33, $U$36, '근무표(입력)'!$A$3:$A$33, $U59) + SUMIFS('근무표(입력)'!$J$3:$J$33, '근무표(입력)'!$G$3:$G$33, $U$36, '근무표(입력)'!$A$3:$A$33, $A24) + SUMIFS('근무표(입력)'!$N$3:$N$33, '근무표(입력)'!$K$3:$K$33, $U$36, '근무표(입력)'!$A$3:$A$33, $A24) + SUMIFS('근무표(입력)'!$R$3:$R$33, '근무표(입력)'!$O$3:$O$33, $U$36, '근무표(입력)'!$A$3:$A$33, $A24)</f>
        <v>0</v>
      </c>
      <c r="Y59" s="9">
        <f t="shared" si="26"/>
        <v>46075</v>
      </c>
      <c r="Z59" s="7" t="str">
        <f t="shared" si="27"/>
        <v>일</v>
      </c>
      <c r="AA59" s="10">
        <f>SUMIFS('근무표(입력)'!$F$3:$F$33, '근무표(입력)'!$C$3:$C$33, $Y$36, '근무표(입력)'!$A$3:$A$33, $Y59) + SUMIFS('근무표(입력)'!$J$3:$J$33, '근무표(입력)'!$G$3:$G$33, $Y$36, '근무표(입력)'!$A$3:$A$33, $A24) + SUMIFS('근무표(입력)'!$N$3:$N$33, '근무표(입력)'!$K$3:$K$33, $Y$36, '근무표(입력)'!$A$3:$A$33, $A24) + SUMIFS('근무표(입력)'!$R$3:$R$33, '근무표(입력)'!$O$3:$O$33, $Y$36, '근무표(입력)'!$A$3:$A$33, $A24)</f>
        <v>0</v>
      </c>
    </row>
    <row r="60" spans="1:27" x14ac:dyDescent="0.3">
      <c r="A60" s="9">
        <f t="shared" si="14"/>
        <v>46076</v>
      </c>
      <c r="B60" s="7" t="str">
        <f t="shared" si="15"/>
        <v>월</v>
      </c>
      <c r="C60" s="10">
        <f>SUMIFS('근무표(입력)'!$F$3:$F$33, '근무표(입력)'!$C$3:$C$33, $A$36, '근무표(입력)'!$A$3:$A$33, $A60) + SUMIFS('근무표(입력)'!$J$3:$J$33, '근무표(입력)'!$G$3:$G$33, $A$36, '근무표(입력)'!$A$3:$A$33, $A25) + SUMIFS('근무표(입력)'!$N$3:$N$33, '근무표(입력)'!$K$3:$K$33, $A$36, '근무표(입력)'!$A$3:$A$33, $A25) + SUMIFS('근무표(입력)'!$R$3:$R$33, '근무표(입력)'!$O$3:$O$33, $A$36, '근무표(입력)'!$A$3:$A$33, $A25)</f>
        <v>0</v>
      </c>
      <c r="E60" s="9">
        <f t="shared" si="16"/>
        <v>46076</v>
      </c>
      <c r="F60" s="7" t="str">
        <f t="shared" si="17"/>
        <v>월</v>
      </c>
      <c r="G60" s="10">
        <f>SUMIFS('근무표(입력)'!$F$3:$F$33, '근무표(입력)'!$C$3:$C$33, $E$36, '근무표(입력)'!$A$3:$A$33, $E60) + SUMIFS('근무표(입력)'!$J$3:$J$33, '근무표(입력)'!$G$3:$G$33, $E$36, '근무표(입력)'!$A$3:$A$33, $A25) + SUMIFS('근무표(입력)'!$N$3:$N$33, '근무표(입력)'!$K$3:$K$33, $E$36, '근무표(입력)'!$A$3:$A$33, $A25) + SUMIFS('근무표(입력)'!$R$3:$R$33, '근무표(입력)'!$O$3:$O$33, $E$36, '근무표(입력)'!$A$3:$A$33, $A25)</f>
        <v>0</v>
      </c>
      <c r="I60" s="9">
        <f t="shared" si="18"/>
        <v>46076</v>
      </c>
      <c r="J60" s="7" t="str">
        <f t="shared" si="19"/>
        <v>월</v>
      </c>
      <c r="K60" s="10">
        <f>SUMIFS('근무표(입력)'!$F$3:$F$33, '근무표(입력)'!$C$3:$C$33, $I$36, '근무표(입력)'!$A$3:$A$33, $I60) + SUMIFS('근무표(입력)'!$J$3:$J$33, '근무표(입력)'!$G$3:$G$33, $I$36, '근무표(입력)'!$A$3:$A$33, $A25) + SUMIFS('근무표(입력)'!$N$3:$N$33, '근무표(입력)'!$K$3:$K$33, $I$36, '근무표(입력)'!$A$3:$A$33, $A25) + SUMIFS('근무표(입력)'!$R$3:$R$33, '근무표(입력)'!$O$3:$O$33, $I$36, '근무표(입력)'!$A$3:$A$33, $A25)</f>
        <v>0</v>
      </c>
      <c r="M60" s="9">
        <f t="shared" si="20"/>
        <v>46076</v>
      </c>
      <c r="N60" s="7" t="str">
        <f t="shared" si="21"/>
        <v>월</v>
      </c>
      <c r="O60" s="10">
        <f>SUMIFS('근무표(입력)'!$F$3:$F$33, '근무표(입력)'!$C$3:$C$33, $M$36, '근무표(입력)'!$A$3:$A$33, $M60) + SUMIFS('근무표(입력)'!$J$3:$J$33, '근무표(입력)'!$G$3:$G$33, $M$36, '근무표(입력)'!$A$3:$A$33, $A25) + SUMIFS('근무표(입력)'!$N$3:$N$33, '근무표(입력)'!$K$3:$K$33, $M$36, '근무표(입력)'!$A$3:$A$33, $A25) + SUMIFS('근무표(입력)'!$R$3:$R$33, '근무표(입력)'!$O$3:$O$33, $M$36, '근무표(입력)'!$A$3:$A$33, $A25)</f>
        <v>0</v>
      </c>
      <c r="Q60" s="9">
        <f t="shared" si="22"/>
        <v>46076</v>
      </c>
      <c r="R60" s="7" t="str">
        <f t="shared" si="23"/>
        <v>월</v>
      </c>
      <c r="S60" s="10">
        <f>SUMIFS('근무표(입력)'!$F$3:$F$33, '근무표(입력)'!$C$3:$C$33, $Q$36, '근무표(입력)'!$A$3:$A$33, $Q60) + SUMIFS('근무표(입력)'!$J$3:$J$33, '근무표(입력)'!$G$3:$G$33, $Q$36, '근무표(입력)'!$A$3:$A$33, $A25) + SUMIFS('근무표(입력)'!$N$3:$N$33, '근무표(입력)'!$K$3:$K$33, $Q$36, '근무표(입력)'!$A$3:$A$33, $A25) + SUMIFS('근무표(입력)'!$R$3:$R$33, '근무표(입력)'!$O$3:$O$33, $Q$36, '근무표(입력)'!$A$3:$A$33, $A25)</f>
        <v>0</v>
      </c>
      <c r="U60" s="9">
        <f t="shared" si="24"/>
        <v>46076</v>
      </c>
      <c r="V60" s="7" t="str">
        <f t="shared" si="25"/>
        <v>월</v>
      </c>
      <c r="W60" s="10">
        <f>SUMIFS('근무표(입력)'!$F$3:$F$33, '근무표(입력)'!$C$3:$C$33, $U$36, '근무표(입력)'!$A$3:$A$33, $U60) + SUMIFS('근무표(입력)'!$J$3:$J$33, '근무표(입력)'!$G$3:$G$33, $U$36, '근무표(입력)'!$A$3:$A$33, $A25) + SUMIFS('근무표(입력)'!$N$3:$N$33, '근무표(입력)'!$K$3:$K$33, $U$36, '근무표(입력)'!$A$3:$A$33, $A25) + SUMIFS('근무표(입력)'!$R$3:$R$33, '근무표(입력)'!$O$3:$O$33, $U$36, '근무표(입력)'!$A$3:$A$33, $A25)</f>
        <v>0</v>
      </c>
      <c r="Y60" s="9">
        <f t="shared" si="26"/>
        <v>46076</v>
      </c>
      <c r="Z60" s="7" t="str">
        <f t="shared" si="27"/>
        <v>월</v>
      </c>
      <c r="AA60" s="10">
        <f>SUMIFS('근무표(입력)'!$F$3:$F$33, '근무표(입력)'!$C$3:$C$33, $Y$36, '근무표(입력)'!$A$3:$A$33, $Y60) + SUMIFS('근무표(입력)'!$J$3:$J$33, '근무표(입력)'!$G$3:$G$33, $Y$36, '근무표(입력)'!$A$3:$A$33, $A25) + SUMIFS('근무표(입력)'!$N$3:$N$33, '근무표(입력)'!$K$3:$K$33, $Y$36, '근무표(입력)'!$A$3:$A$33, $A25) + SUMIFS('근무표(입력)'!$R$3:$R$33, '근무표(입력)'!$O$3:$O$33, $Y$36, '근무표(입력)'!$A$3:$A$33, $A25)</f>
        <v>0</v>
      </c>
    </row>
    <row r="61" spans="1:27" x14ac:dyDescent="0.3">
      <c r="A61" s="9">
        <f t="shared" si="14"/>
        <v>46077</v>
      </c>
      <c r="B61" s="7" t="str">
        <f t="shared" si="15"/>
        <v>화</v>
      </c>
      <c r="C61" s="10">
        <f>SUMIFS('근무표(입력)'!$F$3:$F$33, '근무표(입력)'!$C$3:$C$33, $A$36, '근무표(입력)'!$A$3:$A$33, $A61) + SUMIFS('근무표(입력)'!$J$3:$J$33, '근무표(입력)'!$G$3:$G$33, $A$36, '근무표(입력)'!$A$3:$A$33, $A26) + SUMIFS('근무표(입력)'!$N$3:$N$33, '근무표(입력)'!$K$3:$K$33, $A$36, '근무표(입력)'!$A$3:$A$33, $A26) + SUMIFS('근무표(입력)'!$R$3:$R$33, '근무표(입력)'!$O$3:$O$33, $A$36, '근무표(입력)'!$A$3:$A$33, $A26)</f>
        <v>0</v>
      </c>
      <c r="E61" s="9">
        <f t="shared" si="16"/>
        <v>46077</v>
      </c>
      <c r="F61" s="7" t="str">
        <f t="shared" si="17"/>
        <v>화</v>
      </c>
      <c r="G61" s="10">
        <f>SUMIFS('근무표(입력)'!$F$3:$F$33, '근무표(입력)'!$C$3:$C$33, $E$36, '근무표(입력)'!$A$3:$A$33, $E61) + SUMIFS('근무표(입력)'!$J$3:$J$33, '근무표(입력)'!$G$3:$G$33, $E$36, '근무표(입력)'!$A$3:$A$33, $A26) + SUMIFS('근무표(입력)'!$N$3:$N$33, '근무표(입력)'!$K$3:$K$33, $E$36, '근무표(입력)'!$A$3:$A$33, $A26) + SUMIFS('근무표(입력)'!$R$3:$R$33, '근무표(입력)'!$O$3:$O$33, $E$36, '근무표(입력)'!$A$3:$A$33, $A26)</f>
        <v>0</v>
      </c>
      <c r="I61" s="9">
        <f t="shared" si="18"/>
        <v>46077</v>
      </c>
      <c r="J61" s="7" t="str">
        <f t="shared" si="19"/>
        <v>화</v>
      </c>
      <c r="K61" s="10">
        <f>SUMIFS('근무표(입력)'!$F$3:$F$33, '근무표(입력)'!$C$3:$C$33, $I$36, '근무표(입력)'!$A$3:$A$33, $I61) + SUMIFS('근무표(입력)'!$J$3:$J$33, '근무표(입력)'!$G$3:$G$33, $I$36, '근무표(입력)'!$A$3:$A$33, $A26) + SUMIFS('근무표(입력)'!$N$3:$N$33, '근무표(입력)'!$K$3:$K$33, $I$36, '근무표(입력)'!$A$3:$A$33, $A26) + SUMIFS('근무표(입력)'!$R$3:$R$33, '근무표(입력)'!$O$3:$O$33, $I$36, '근무표(입력)'!$A$3:$A$33, $A26)</f>
        <v>0</v>
      </c>
      <c r="M61" s="9">
        <f t="shared" si="20"/>
        <v>46077</v>
      </c>
      <c r="N61" s="7" t="str">
        <f t="shared" si="21"/>
        <v>화</v>
      </c>
      <c r="O61" s="10">
        <f>SUMIFS('근무표(입력)'!$F$3:$F$33, '근무표(입력)'!$C$3:$C$33, $M$36, '근무표(입력)'!$A$3:$A$33, $M61) + SUMIFS('근무표(입력)'!$J$3:$J$33, '근무표(입력)'!$G$3:$G$33, $M$36, '근무표(입력)'!$A$3:$A$33, $A26) + SUMIFS('근무표(입력)'!$N$3:$N$33, '근무표(입력)'!$K$3:$K$33, $M$36, '근무표(입력)'!$A$3:$A$33, $A26) + SUMIFS('근무표(입력)'!$R$3:$R$33, '근무표(입력)'!$O$3:$O$33, $M$36, '근무표(입력)'!$A$3:$A$33, $A26)</f>
        <v>0</v>
      </c>
      <c r="Q61" s="9">
        <f t="shared" si="22"/>
        <v>46077</v>
      </c>
      <c r="R61" s="7" t="str">
        <f t="shared" si="23"/>
        <v>화</v>
      </c>
      <c r="S61" s="10">
        <f>SUMIFS('근무표(입력)'!$F$3:$F$33, '근무표(입력)'!$C$3:$C$33, $Q$36, '근무표(입력)'!$A$3:$A$33, $Q61) + SUMIFS('근무표(입력)'!$J$3:$J$33, '근무표(입력)'!$G$3:$G$33, $Q$36, '근무표(입력)'!$A$3:$A$33, $A26) + SUMIFS('근무표(입력)'!$N$3:$N$33, '근무표(입력)'!$K$3:$K$33, $Q$36, '근무표(입력)'!$A$3:$A$33, $A26) + SUMIFS('근무표(입력)'!$R$3:$R$33, '근무표(입력)'!$O$3:$O$33, $Q$36, '근무표(입력)'!$A$3:$A$33, $A26)</f>
        <v>0</v>
      </c>
      <c r="U61" s="9">
        <f t="shared" si="24"/>
        <v>46077</v>
      </c>
      <c r="V61" s="7" t="str">
        <f t="shared" si="25"/>
        <v>화</v>
      </c>
      <c r="W61" s="10">
        <f>SUMIFS('근무표(입력)'!$F$3:$F$33, '근무표(입력)'!$C$3:$C$33, $U$36, '근무표(입력)'!$A$3:$A$33, $U61) + SUMIFS('근무표(입력)'!$J$3:$J$33, '근무표(입력)'!$G$3:$G$33, $U$36, '근무표(입력)'!$A$3:$A$33, $A26) + SUMIFS('근무표(입력)'!$N$3:$N$33, '근무표(입력)'!$K$3:$K$33, $U$36, '근무표(입력)'!$A$3:$A$33, $A26) + SUMIFS('근무표(입력)'!$R$3:$R$33, '근무표(입력)'!$O$3:$O$33, $U$36, '근무표(입력)'!$A$3:$A$33, $A26)</f>
        <v>0</v>
      </c>
      <c r="Y61" s="9">
        <f t="shared" si="26"/>
        <v>46077</v>
      </c>
      <c r="Z61" s="7" t="str">
        <f t="shared" si="27"/>
        <v>화</v>
      </c>
      <c r="AA61" s="10">
        <f>SUMIFS('근무표(입력)'!$F$3:$F$33, '근무표(입력)'!$C$3:$C$33, $Y$36, '근무표(입력)'!$A$3:$A$33, $Y61) + SUMIFS('근무표(입력)'!$J$3:$J$33, '근무표(입력)'!$G$3:$G$33, $Y$36, '근무표(입력)'!$A$3:$A$33, $A26) + SUMIFS('근무표(입력)'!$N$3:$N$33, '근무표(입력)'!$K$3:$K$33, $Y$36, '근무표(입력)'!$A$3:$A$33, $A26) + SUMIFS('근무표(입력)'!$R$3:$R$33, '근무표(입력)'!$O$3:$O$33, $Y$36, '근무표(입력)'!$A$3:$A$33, $A26)</f>
        <v>0</v>
      </c>
    </row>
    <row r="62" spans="1:27" x14ac:dyDescent="0.3">
      <c r="A62" s="9">
        <f t="shared" si="14"/>
        <v>46078</v>
      </c>
      <c r="B62" s="7" t="str">
        <f t="shared" si="15"/>
        <v>수</v>
      </c>
      <c r="C62" s="10">
        <f>SUMIFS('근무표(입력)'!$F$3:$F$33, '근무표(입력)'!$C$3:$C$33, $A$36, '근무표(입력)'!$A$3:$A$33, $A62) + SUMIFS('근무표(입력)'!$J$3:$J$33, '근무표(입력)'!$G$3:$G$33, $A$36, '근무표(입력)'!$A$3:$A$33, $A27) + SUMIFS('근무표(입력)'!$N$3:$N$33, '근무표(입력)'!$K$3:$K$33, $A$36, '근무표(입력)'!$A$3:$A$33, $A27) + SUMIFS('근무표(입력)'!$R$3:$R$33, '근무표(입력)'!$O$3:$O$33, $A$36, '근무표(입력)'!$A$3:$A$33, $A27)</f>
        <v>0</v>
      </c>
      <c r="E62" s="9">
        <f t="shared" si="16"/>
        <v>46078</v>
      </c>
      <c r="F62" s="7" t="str">
        <f t="shared" si="17"/>
        <v>수</v>
      </c>
      <c r="G62" s="10">
        <f>SUMIFS('근무표(입력)'!$F$3:$F$33, '근무표(입력)'!$C$3:$C$33, $E$36, '근무표(입력)'!$A$3:$A$33, $E62) + SUMIFS('근무표(입력)'!$J$3:$J$33, '근무표(입력)'!$G$3:$G$33, $E$36, '근무표(입력)'!$A$3:$A$33, $A27) + SUMIFS('근무표(입력)'!$N$3:$N$33, '근무표(입력)'!$K$3:$K$33, $E$36, '근무표(입력)'!$A$3:$A$33, $A27) + SUMIFS('근무표(입력)'!$R$3:$R$33, '근무표(입력)'!$O$3:$O$33, $E$36, '근무표(입력)'!$A$3:$A$33, $A27)</f>
        <v>0</v>
      </c>
      <c r="I62" s="9">
        <f t="shared" si="18"/>
        <v>46078</v>
      </c>
      <c r="J62" s="7" t="str">
        <f t="shared" si="19"/>
        <v>수</v>
      </c>
      <c r="K62" s="10">
        <f>SUMIFS('근무표(입력)'!$F$3:$F$33, '근무표(입력)'!$C$3:$C$33, $I$36, '근무표(입력)'!$A$3:$A$33, $I62) + SUMIFS('근무표(입력)'!$J$3:$J$33, '근무표(입력)'!$G$3:$G$33, $I$36, '근무표(입력)'!$A$3:$A$33, $A27) + SUMIFS('근무표(입력)'!$N$3:$N$33, '근무표(입력)'!$K$3:$K$33, $I$36, '근무표(입력)'!$A$3:$A$33, $A27) + SUMIFS('근무표(입력)'!$R$3:$R$33, '근무표(입력)'!$O$3:$O$33, $I$36, '근무표(입력)'!$A$3:$A$33, $A27)</f>
        <v>0</v>
      </c>
      <c r="M62" s="9">
        <f t="shared" si="20"/>
        <v>46078</v>
      </c>
      <c r="N62" s="7" t="str">
        <f t="shared" si="21"/>
        <v>수</v>
      </c>
      <c r="O62" s="10">
        <f>SUMIFS('근무표(입력)'!$F$3:$F$33, '근무표(입력)'!$C$3:$C$33, $M$36, '근무표(입력)'!$A$3:$A$33, $M62) + SUMIFS('근무표(입력)'!$J$3:$J$33, '근무표(입력)'!$G$3:$G$33, $M$36, '근무표(입력)'!$A$3:$A$33, $A27) + SUMIFS('근무표(입력)'!$N$3:$N$33, '근무표(입력)'!$K$3:$K$33, $M$36, '근무표(입력)'!$A$3:$A$33, $A27) + SUMIFS('근무표(입력)'!$R$3:$R$33, '근무표(입력)'!$O$3:$O$33, $M$36, '근무표(입력)'!$A$3:$A$33, $A27)</f>
        <v>0</v>
      </c>
      <c r="Q62" s="9">
        <f t="shared" si="22"/>
        <v>46078</v>
      </c>
      <c r="R62" s="7" t="str">
        <f t="shared" si="23"/>
        <v>수</v>
      </c>
      <c r="S62" s="10">
        <f>SUMIFS('근무표(입력)'!$F$3:$F$33, '근무표(입력)'!$C$3:$C$33, $Q$36, '근무표(입력)'!$A$3:$A$33, $Q62) + SUMIFS('근무표(입력)'!$J$3:$J$33, '근무표(입력)'!$G$3:$G$33, $Q$36, '근무표(입력)'!$A$3:$A$33, $A27) + SUMIFS('근무표(입력)'!$N$3:$N$33, '근무표(입력)'!$K$3:$K$33, $Q$36, '근무표(입력)'!$A$3:$A$33, $A27) + SUMIFS('근무표(입력)'!$R$3:$R$33, '근무표(입력)'!$O$3:$O$33, $Q$36, '근무표(입력)'!$A$3:$A$33, $A27)</f>
        <v>0</v>
      </c>
      <c r="U62" s="9">
        <f t="shared" si="24"/>
        <v>46078</v>
      </c>
      <c r="V62" s="7" t="str">
        <f t="shared" si="25"/>
        <v>수</v>
      </c>
      <c r="W62" s="10">
        <f>SUMIFS('근무표(입력)'!$F$3:$F$33, '근무표(입력)'!$C$3:$C$33, $U$36, '근무표(입력)'!$A$3:$A$33, $U62) + SUMIFS('근무표(입력)'!$J$3:$J$33, '근무표(입력)'!$G$3:$G$33, $U$36, '근무표(입력)'!$A$3:$A$33, $A27) + SUMIFS('근무표(입력)'!$N$3:$N$33, '근무표(입력)'!$K$3:$K$33, $U$36, '근무표(입력)'!$A$3:$A$33, $A27) + SUMIFS('근무표(입력)'!$R$3:$R$33, '근무표(입력)'!$O$3:$O$33, $U$36, '근무표(입력)'!$A$3:$A$33, $A27)</f>
        <v>0</v>
      </c>
      <c r="Y62" s="9">
        <f t="shared" si="26"/>
        <v>46078</v>
      </c>
      <c r="Z62" s="7" t="str">
        <f t="shared" si="27"/>
        <v>수</v>
      </c>
      <c r="AA62" s="10">
        <f>SUMIFS('근무표(입력)'!$F$3:$F$33, '근무표(입력)'!$C$3:$C$33, $Y$36, '근무표(입력)'!$A$3:$A$33, $Y62) + SUMIFS('근무표(입력)'!$J$3:$J$33, '근무표(입력)'!$G$3:$G$33, $Y$36, '근무표(입력)'!$A$3:$A$33, $A27) + SUMIFS('근무표(입력)'!$N$3:$N$33, '근무표(입력)'!$K$3:$K$33, $Y$36, '근무표(입력)'!$A$3:$A$33, $A27) + SUMIFS('근무표(입력)'!$R$3:$R$33, '근무표(입력)'!$O$3:$O$33, $Y$36, '근무표(입력)'!$A$3:$A$33, $A27)</f>
        <v>0</v>
      </c>
    </row>
    <row r="63" spans="1:27" x14ac:dyDescent="0.3">
      <c r="A63" s="9">
        <f t="shared" si="14"/>
        <v>46079</v>
      </c>
      <c r="B63" s="7" t="str">
        <f t="shared" si="15"/>
        <v>목</v>
      </c>
      <c r="C63" s="10">
        <f>SUMIFS('근무표(입력)'!$F$3:$F$33, '근무표(입력)'!$C$3:$C$33, $A$36, '근무표(입력)'!$A$3:$A$33, $A63) + SUMIFS('근무표(입력)'!$J$3:$J$33, '근무표(입력)'!$G$3:$G$33, $A$36, '근무표(입력)'!$A$3:$A$33, $A28) + SUMIFS('근무표(입력)'!$N$3:$N$33, '근무표(입력)'!$K$3:$K$33, $A$36, '근무표(입력)'!$A$3:$A$33, $A28) + SUMIFS('근무표(입력)'!$R$3:$R$33, '근무표(입력)'!$O$3:$O$33, $A$36, '근무표(입력)'!$A$3:$A$33, $A28)</f>
        <v>0</v>
      </c>
      <c r="E63" s="9">
        <f t="shared" si="16"/>
        <v>46079</v>
      </c>
      <c r="F63" s="7" t="str">
        <f t="shared" si="17"/>
        <v>목</v>
      </c>
      <c r="G63" s="10">
        <f>SUMIFS('근무표(입력)'!$F$3:$F$33, '근무표(입력)'!$C$3:$C$33, $E$36, '근무표(입력)'!$A$3:$A$33, $E63) + SUMIFS('근무표(입력)'!$J$3:$J$33, '근무표(입력)'!$G$3:$G$33, $E$36, '근무표(입력)'!$A$3:$A$33, $A28) + SUMIFS('근무표(입력)'!$N$3:$N$33, '근무표(입력)'!$K$3:$K$33, $E$36, '근무표(입력)'!$A$3:$A$33, $A28) + SUMIFS('근무표(입력)'!$R$3:$R$33, '근무표(입력)'!$O$3:$O$33, $E$36, '근무표(입력)'!$A$3:$A$33, $A28)</f>
        <v>0</v>
      </c>
      <c r="I63" s="9">
        <f t="shared" si="18"/>
        <v>46079</v>
      </c>
      <c r="J63" s="7" t="str">
        <f t="shared" si="19"/>
        <v>목</v>
      </c>
      <c r="K63" s="10">
        <f>SUMIFS('근무표(입력)'!$F$3:$F$33, '근무표(입력)'!$C$3:$C$33, $I$36, '근무표(입력)'!$A$3:$A$33, $I63) + SUMIFS('근무표(입력)'!$J$3:$J$33, '근무표(입력)'!$G$3:$G$33, $I$36, '근무표(입력)'!$A$3:$A$33, $A28) + SUMIFS('근무표(입력)'!$N$3:$N$33, '근무표(입력)'!$K$3:$K$33, $I$36, '근무표(입력)'!$A$3:$A$33, $A28) + SUMIFS('근무표(입력)'!$R$3:$R$33, '근무표(입력)'!$O$3:$O$33, $I$36, '근무표(입력)'!$A$3:$A$33, $A28)</f>
        <v>0</v>
      </c>
      <c r="M63" s="9">
        <f t="shared" si="20"/>
        <v>46079</v>
      </c>
      <c r="N63" s="7" t="str">
        <f t="shared" si="21"/>
        <v>목</v>
      </c>
      <c r="O63" s="10">
        <f>SUMIFS('근무표(입력)'!$F$3:$F$33, '근무표(입력)'!$C$3:$C$33, $M$36, '근무표(입력)'!$A$3:$A$33, $M63) + SUMIFS('근무표(입력)'!$J$3:$J$33, '근무표(입력)'!$G$3:$G$33, $M$36, '근무표(입력)'!$A$3:$A$33, $A28) + SUMIFS('근무표(입력)'!$N$3:$N$33, '근무표(입력)'!$K$3:$K$33, $M$36, '근무표(입력)'!$A$3:$A$33, $A28) + SUMIFS('근무표(입력)'!$R$3:$R$33, '근무표(입력)'!$O$3:$O$33, $M$36, '근무표(입력)'!$A$3:$A$33, $A28)</f>
        <v>0</v>
      </c>
      <c r="Q63" s="9">
        <f t="shared" si="22"/>
        <v>46079</v>
      </c>
      <c r="R63" s="7" t="str">
        <f t="shared" si="23"/>
        <v>목</v>
      </c>
      <c r="S63" s="10">
        <f>SUMIFS('근무표(입력)'!$F$3:$F$33, '근무표(입력)'!$C$3:$C$33, $Q$36, '근무표(입력)'!$A$3:$A$33, $Q63) + SUMIFS('근무표(입력)'!$J$3:$J$33, '근무표(입력)'!$G$3:$G$33, $Q$36, '근무표(입력)'!$A$3:$A$33, $A28) + SUMIFS('근무표(입력)'!$N$3:$N$33, '근무표(입력)'!$K$3:$K$33, $Q$36, '근무표(입력)'!$A$3:$A$33, $A28) + SUMIFS('근무표(입력)'!$R$3:$R$33, '근무표(입력)'!$O$3:$O$33, $Q$36, '근무표(입력)'!$A$3:$A$33, $A28)</f>
        <v>0</v>
      </c>
      <c r="U63" s="9">
        <f t="shared" si="24"/>
        <v>46079</v>
      </c>
      <c r="V63" s="7" t="str">
        <f t="shared" si="25"/>
        <v>목</v>
      </c>
      <c r="W63" s="10">
        <f>SUMIFS('근무표(입력)'!$F$3:$F$33, '근무표(입력)'!$C$3:$C$33, $U$36, '근무표(입력)'!$A$3:$A$33, $U63) + SUMIFS('근무표(입력)'!$J$3:$J$33, '근무표(입력)'!$G$3:$G$33, $U$36, '근무표(입력)'!$A$3:$A$33, $A28) + SUMIFS('근무표(입력)'!$N$3:$N$33, '근무표(입력)'!$K$3:$K$33, $U$36, '근무표(입력)'!$A$3:$A$33, $A28) + SUMIFS('근무표(입력)'!$R$3:$R$33, '근무표(입력)'!$O$3:$O$33, $U$36, '근무표(입력)'!$A$3:$A$33, $A28)</f>
        <v>0</v>
      </c>
      <c r="Y63" s="9">
        <f t="shared" si="26"/>
        <v>46079</v>
      </c>
      <c r="Z63" s="7" t="str">
        <f t="shared" si="27"/>
        <v>목</v>
      </c>
      <c r="AA63" s="10">
        <f>SUMIFS('근무표(입력)'!$F$3:$F$33, '근무표(입력)'!$C$3:$C$33, $Y$36, '근무표(입력)'!$A$3:$A$33, $Y63) + SUMIFS('근무표(입력)'!$J$3:$J$33, '근무표(입력)'!$G$3:$G$33, $Y$36, '근무표(입력)'!$A$3:$A$33, $A28) + SUMIFS('근무표(입력)'!$N$3:$N$33, '근무표(입력)'!$K$3:$K$33, $Y$36, '근무표(입력)'!$A$3:$A$33, $A28) + SUMIFS('근무표(입력)'!$R$3:$R$33, '근무표(입력)'!$O$3:$O$33, $Y$36, '근무표(입력)'!$A$3:$A$33, $A28)</f>
        <v>0</v>
      </c>
    </row>
    <row r="64" spans="1:27" x14ac:dyDescent="0.3">
      <c r="A64" s="9">
        <f t="shared" si="14"/>
        <v>46080</v>
      </c>
      <c r="B64" s="7" t="str">
        <f t="shared" si="15"/>
        <v>금</v>
      </c>
      <c r="C64" s="10">
        <f>SUMIFS('근무표(입력)'!$F$3:$F$33, '근무표(입력)'!$C$3:$C$33, $A$36, '근무표(입력)'!$A$3:$A$33, $A64) + SUMIFS('근무표(입력)'!$J$3:$J$33, '근무표(입력)'!$G$3:$G$33, $A$36, '근무표(입력)'!$A$3:$A$33, $A29) + SUMIFS('근무표(입력)'!$N$3:$N$33, '근무표(입력)'!$K$3:$K$33, $A$36, '근무표(입력)'!$A$3:$A$33, $A29) + SUMIFS('근무표(입력)'!$R$3:$R$33, '근무표(입력)'!$O$3:$O$33, $A$36, '근무표(입력)'!$A$3:$A$33, $A29)</f>
        <v>0</v>
      </c>
      <c r="E64" s="9">
        <f t="shared" si="16"/>
        <v>46080</v>
      </c>
      <c r="F64" s="7" t="str">
        <f t="shared" si="17"/>
        <v>금</v>
      </c>
      <c r="G64" s="10">
        <f>SUMIFS('근무표(입력)'!$F$3:$F$33, '근무표(입력)'!$C$3:$C$33, $E$36, '근무표(입력)'!$A$3:$A$33, $E64) + SUMIFS('근무표(입력)'!$J$3:$J$33, '근무표(입력)'!$G$3:$G$33, $E$36, '근무표(입력)'!$A$3:$A$33, $A29) + SUMIFS('근무표(입력)'!$N$3:$N$33, '근무표(입력)'!$K$3:$K$33, $E$36, '근무표(입력)'!$A$3:$A$33, $A29) + SUMIFS('근무표(입력)'!$R$3:$R$33, '근무표(입력)'!$O$3:$O$33, $E$36, '근무표(입력)'!$A$3:$A$33, $A29)</f>
        <v>0</v>
      </c>
      <c r="I64" s="9">
        <f t="shared" si="18"/>
        <v>46080</v>
      </c>
      <c r="J64" s="7" t="str">
        <f t="shared" si="19"/>
        <v>금</v>
      </c>
      <c r="K64" s="10">
        <f>SUMIFS('근무표(입력)'!$F$3:$F$33, '근무표(입력)'!$C$3:$C$33, $I$36, '근무표(입력)'!$A$3:$A$33, $I64) + SUMIFS('근무표(입력)'!$J$3:$J$33, '근무표(입력)'!$G$3:$G$33, $I$36, '근무표(입력)'!$A$3:$A$33, $A29) + SUMIFS('근무표(입력)'!$N$3:$N$33, '근무표(입력)'!$K$3:$K$33, $I$36, '근무표(입력)'!$A$3:$A$33, $A29) + SUMIFS('근무표(입력)'!$R$3:$R$33, '근무표(입력)'!$O$3:$O$33, $I$36, '근무표(입력)'!$A$3:$A$33, $A29)</f>
        <v>0</v>
      </c>
      <c r="M64" s="9">
        <f t="shared" si="20"/>
        <v>46080</v>
      </c>
      <c r="N64" s="7" t="str">
        <f t="shared" si="21"/>
        <v>금</v>
      </c>
      <c r="O64" s="10">
        <f>SUMIFS('근무표(입력)'!$F$3:$F$33, '근무표(입력)'!$C$3:$C$33, $M$36, '근무표(입력)'!$A$3:$A$33, $M64) + SUMIFS('근무표(입력)'!$J$3:$J$33, '근무표(입력)'!$G$3:$G$33, $M$36, '근무표(입력)'!$A$3:$A$33, $A29) + SUMIFS('근무표(입력)'!$N$3:$N$33, '근무표(입력)'!$K$3:$K$33, $M$36, '근무표(입력)'!$A$3:$A$33, $A29) + SUMIFS('근무표(입력)'!$R$3:$R$33, '근무표(입력)'!$O$3:$O$33, $M$36, '근무표(입력)'!$A$3:$A$33, $A29)</f>
        <v>0</v>
      </c>
      <c r="Q64" s="9">
        <f t="shared" si="22"/>
        <v>46080</v>
      </c>
      <c r="R64" s="7" t="str">
        <f t="shared" si="23"/>
        <v>금</v>
      </c>
      <c r="S64" s="10">
        <f>SUMIFS('근무표(입력)'!$F$3:$F$33, '근무표(입력)'!$C$3:$C$33, $Q$36, '근무표(입력)'!$A$3:$A$33, $Q64) + SUMIFS('근무표(입력)'!$J$3:$J$33, '근무표(입력)'!$G$3:$G$33, $Q$36, '근무표(입력)'!$A$3:$A$33, $A29) + SUMIFS('근무표(입력)'!$N$3:$N$33, '근무표(입력)'!$K$3:$K$33, $Q$36, '근무표(입력)'!$A$3:$A$33, $A29) + SUMIFS('근무표(입력)'!$R$3:$R$33, '근무표(입력)'!$O$3:$O$33, $Q$36, '근무표(입력)'!$A$3:$A$33, $A29)</f>
        <v>0</v>
      </c>
      <c r="U64" s="9">
        <f t="shared" si="24"/>
        <v>46080</v>
      </c>
      <c r="V64" s="7" t="str">
        <f t="shared" si="25"/>
        <v>금</v>
      </c>
      <c r="W64" s="10">
        <f>SUMIFS('근무표(입력)'!$F$3:$F$33, '근무표(입력)'!$C$3:$C$33, $U$36, '근무표(입력)'!$A$3:$A$33, $U64) + SUMIFS('근무표(입력)'!$J$3:$J$33, '근무표(입력)'!$G$3:$G$33, $U$36, '근무표(입력)'!$A$3:$A$33, $A29) + SUMIFS('근무표(입력)'!$N$3:$N$33, '근무표(입력)'!$K$3:$K$33, $U$36, '근무표(입력)'!$A$3:$A$33, $A29) + SUMIFS('근무표(입력)'!$R$3:$R$33, '근무표(입력)'!$O$3:$O$33, $U$36, '근무표(입력)'!$A$3:$A$33, $A29)</f>
        <v>0</v>
      </c>
      <c r="Y64" s="9">
        <f t="shared" si="26"/>
        <v>46080</v>
      </c>
      <c r="Z64" s="7" t="str">
        <f t="shared" si="27"/>
        <v>금</v>
      </c>
      <c r="AA64" s="10">
        <f>SUMIFS('근무표(입력)'!$F$3:$F$33, '근무표(입력)'!$C$3:$C$33, $Y$36, '근무표(입력)'!$A$3:$A$33, $Y64) + SUMIFS('근무표(입력)'!$J$3:$J$33, '근무표(입력)'!$G$3:$G$33, $Y$36, '근무표(입력)'!$A$3:$A$33, $A29) + SUMIFS('근무표(입력)'!$N$3:$N$33, '근무표(입력)'!$K$3:$K$33, $Y$36, '근무표(입력)'!$A$3:$A$33, $A29) + SUMIFS('근무표(입력)'!$R$3:$R$33, '근무표(입력)'!$O$3:$O$33, $Y$36, '근무표(입력)'!$A$3:$A$33, $A29)</f>
        <v>0</v>
      </c>
    </row>
    <row r="65" spans="1:27" x14ac:dyDescent="0.3">
      <c r="A65" s="9">
        <f t="shared" si="14"/>
        <v>46081</v>
      </c>
      <c r="B65" s="7" t="str">
        <f t="shared" si="15"/>
        <v>토</v>
      </c>
      <c r="C65" s="10">
        <f>SUMIFS('근무표(입력)'!$F$3:$F$33, '근무표(입력)'!$C$3:$C$33, $A$36, '근무표(입력)'!$A$3:$A$33, $A65) + SUMIFS('근무표(입력)'!$J$3:$J$33, '근무표(입력)'!$G$3:$G$33, $A$36, '근무표(입력)'!$A$3:$A$33, $A30) + SUMIFS('근무표(입력)'!$N$3:$N$33, '근무표(입력)'!$K$3:$K$33, $A$36, '근무표(입력)'!$A$3:$A$33, $A30) + SUMIFS('근무표(입력)'!$R$3:$R$33, '근무표(입력)'!$O$3:$O$33, $A$36, '근무표(입력)'!$A$3:$A$33, $A30)</f>
        <v>0</v>
      </c>
      <c r="E65" s="9">
        <f t="shared" si="16"/>
        <v>46081</v>
      </c>
      <c r="F65" s="7" t="str">
        <f t="shared" si="17"/>
        <v>토</v>
      </c>
      <c r="G65" s="10">
        <f>SUMIFS('근무표(입력)'!$F$3:$F$33, '근무표(입력)'!$C$3:$C$33, $E$36, '근무표(입력)'!$A$3:$A$33, $E65) + SUMIFS('근무표(입력)'!$J$3:$J$33, '근무표(입력)'!$G$3:$G$33, $E$36, '근무표(입력)'!$A$3:$A$33, $A30) + SUMIFS('근무표(입력)'!$N$3:$N$33, '근무표(입력)'!$K$3:$K$33, $E$36, '근무표(입력)'!$A$3:$A$33, $A30) + SUMIFS('근무표(입력)'!$R$3:$R$33, '근무표(입력)'!$O$3:$O$33, $E$36, '근무표(입력)'!$A$3:$A$33, $A30)</f>
        <v>0</v>
      </c>
      <c r="I65" s="9">
        <f t="shared" si="18"/>
        <v>46081</v>
      </c>
      <c r="J65" s="7" t="str">
        <f t="shared" si="19"/>
        <v>토</v>
      </c>
      <c r="K65" s="10">
        <f>SUMIFS('근무표(입력)'!$F$3:$F$33, '근무표(입력)'!$C$3:$C$33, $I$36, '근무표(입력)'!$A$3:$A$33, $I65) + SUMIFS('근무표(입력)'!$J$3:$J$33, '근무표(입력)'!$G$3:$G$33, $I$36, '근무표(입력)'!$A$3:$A$33, $A30) + SUMIFS('근무표(입력)'!$N$3:$N$33, '근무표(입력)'!$K$3:$K$33, $I$36, '근무표(입력)'!$A$3:$A$33, $A30) + SUMIFS('근무표(입력)'!$R$3:$R$33, '근무표(입력)'!$O$3:$O$33, $I$36, '근무표(입력)'!$A$3:$A$33, $A30)</f>
        <v>0</v>
      </c>
      <c r="M65" s="9">
        <f t="shared" si="20"/>
        <v>46081</v>
      </c>
      <c r="N65" s="7" t="str">
        <f t="shared" si="21"/>
        <v>토</v>
      </c>
      <c r="O65" s="10">
        <f>SUMIFS('근무표(입력)'!$F$3:$F$33, '근무표(입력)'!$C$3:$C$33, $M$36, '근무표(입력)'!$A$3:$A$33, $M65) + SUMIFS('근무표(입력)'!$J$3:$J$33, '근무표(입력)'!$G$3:$G$33, $M$36, '근무표(입력)'!$A$3:$A$33, $A30) + SUMIFS('근무표(입력)'!$N$3:$N$33, '근무표(입력)'!$K$3:$K$33, $M$36, '근무표(입력)'!$A$3:$A$33, $A30) + SUMIFS('근무표(입력)'!$R$3:$R$33, '근무표(입력)'!$O$3:$O$33, $M$36, '근무표(입력)'!$A$3:$A$33, $A30)</f>
        <v>0</v>
      </c>
      <c r="Q65" s="9">
        <f t="shared" si="22"/>
        <v>46081</v>
      </c>
      <c r="R65" s="7" t="str">
        <f t="shared" si="23"/>
        <v>토</v>
      </c>
      <c r="S65" s="10">
        <f>SUMIFS('근무표(입력)'!$F$3:$F$33, '근무표(입력)'!$C$3:$C$33, $Q$36, '근무표(입력)'!$A$3:$A$33, $Q65) + SUMIFS('근무표(입력)'!$J$3:$J$33, '근무표(입력)'!$G$3:$G$33, $Q$36, '근무표(입력)'!$A$3:$A$33, $A30) + SUMIFS('근무표(입력)'!$N$3:$N$33, '근무표(입력)'!$K$3:$K$33, $Q$36, '근무표(입력)'!$A$3:$A$33, $A30) + SUMIFS('근무표(입력)'!$R$3:$R$33, '근무표(입력)'!$O$3:$O$33, $Q$36, '근무표(입력)'!$A$3:$A$33, $A30)</f>
        <v>0</v>
      </c>
      <c r="U65" s="9">
        <f t="shared" si="24"/>
        <v>46081</v>
      </c>
      <c r="V65" s="7" t="str">
        <f t="shared" si="25"/>
        <v>토</v>
      </c>
      <c r="W65" s="10">
        <f>SUMIFS('근무표(입력)'!$F$3:$F$33, '근무표(입력)'!$C$3:$C$33, $U$36, '근무표(입력)'!$A$3:$A$33, $U65) + SUMIFS('근무표(입력)'!$J$3:$J$33, '근무표(입력)'!$G$3:$G$33, $U$36, '근무표(입력)'!$A$3:$A$33, $A30) + SUMIFS('근무표(입력)'!$N$3:$N$33, '근무표(입력)'!$K$3:$K$33, $U$36, '근무표(입력)'!$A$3:$A$33, $A30) + SUMIFS('근무표(입력)'!$R$3:$R$33, '근무표(입력)'!$O$3:$O$33, $U$36, '근무표(입력)'!$A$3:$A$33, $A30)</f>
        <v>0</v>
      </c>
      <c r="Y65" s="9">
        <f t="shared" si="26"/>
        <v>46081</v>
      </c>
      <c r="Z65" s="7" t="str">
        <f t="shared" si="27"/>
        <v>토</v>
      </c>
      <c r="AA65" s="10">
        <f>SUMIFS('근무표(입력)'!$F$3:$F$33, '근무표(입력)'!$C$3:$C$33, $Y$36, '근무표(입력)'!$A$3:$A$33, $Y65) + SUMIFS('근무표(입력)'!$J$3:$J$33, '근무표(입력)'!$G$3:$G$33, $Y$36, '근무표(입력)'!$A$3:$A$33, $A30) + SUMIFS('근무표(입력)'!$N$3:$N$33, '근무표(입력)'!$K$3:$K$33, $Y$36, '근무표(입력)'!$A$3:$A$33, $A30) + SUMIFS('근무표(입력)'!$R$3:$R$33, '근무표(입력)'!$O$3:$O$33, $Y$36, '근무표(입력)'!$A$3:$A$33, $A30)</f>
        <v>0</v>
      </c>
    </row>
    <row r="66" spans="1:27" x14ac:dyDescent="0.3">
      <c r="A66" s="9" t="str">
        <f t="shared" si="14"/>
        <v/>
      </c>
      <c r="B66" s="7" t="str">
        <f t="shared" si="15"/>
        <v/>
      </c>
      <c r="C66" s="10">
        <f>SUMIFS('근무표(입력)'!$F$3:$F$33, '근무표(입력)'!$C$3:$C$33, $A$36, '근무표(입력)'!$A$3:$A$33, $A66) + SUMIFS('근무표(입력)'!$J$3:$J$33, '근무표(입력)'!$G$3:$G$33, $A$36, '근무표(입력)'!$A$3:$A$33, $A31) + SUMIFS('근무표(입력)'!$N$3:$N$33, '근무표(입력)'!$K$3:$K$33, $A$36, '근무표(입력)'!$A$3:$A$33, $A31) + SUMIFS('근무표(입력)'!$R$3:$R$33, '근무표(입력)'!$O$3:$O$33, $A$36, '근무표(입력)'!$A$3:$A$33, $A31)</f>
        <v>0</v>
      </c>
      <c r="E66" s="9" t="str">
        <f t="shared" si="16"/>
        <v/>
      </c>
      <c r="F66" s="7" t="str">
        <f t="shared" si="17"/>
        <v/>
      </c>
      <c r="G66" s="10">
        <f>SUMIFS('근무표(입력)'!$F$3:$F$33, '근무표(입력)'!$C$3:$C$33, $E$36, '근무표(입력)'!$A$3:$A$33, $E66) + SUMIFS('근무표(입력)'!$J$3:$J$33, '근무표(입력)'!$G$3:$G$33, $E$36, '근무표(입력)'!$A$3:$A$33, $A31) + SUMIFS('근무표(입력)'!$N$3:$N$33, '근무표(입력)'!$K$3:$K$33, $E$36, '근무표(입력)'!$A$3:$A$33, $A31) + SUMIFS('근무표(입력)'!$R$3:$R$33, '근무표(입력)'!$O$3:$O$33, $E$36, '근무표(입력)'!$A$3:$A$33, $A31)</f>
        <v>0</v>
      </c>
      <c r="I66" s="9" t="str">
        <f t="shared" si="18"/>
        <v/>
      </c>
      <c r="J66" s="7" t="str">
        <f t="shared" si="19"/>
        <v/>
      </c>
      <c r="K66" s="10">
        <f>SUMIFS('근무표(입력)'!$F$3:$F$33, '근무표(입력)'!$C$3:$C$33, $I$36, '근무표(입력)'!$A$3:$A$33, $I66) + SUMIFS('근무표(입력)'!$J$3:$J$33, '근무표(입력)'!$G$3:$G$33, $I$36, '근무표(입력)'!$A$3:$A$33, $A31) + SUMIFS('근무표(입력)'!$N$3:$N$33, '근무표(입력)'!$K$3:$K$33, $I$36, '근무표(입력)'!$A$3:$A$33, $A31) + SUMIFS('근무표(입력)'!$R$3:$R$33, '근무표(입력)'!$O$3:$O$33, $I$36, '근무표(입력)'!$A$3:$A$33, $A31)</f>
        <v>0</v>
      </c>
      <c r="M66" s="9" t="str">
        <f t="shared" si="20"/>
        <v/>
      </c>
      <c r="N66" s="7" t="str">
        <f t="shared" si="21"/>
        <v/>
      </c>
      <c r="O66" s="10">
        <f>SUMIFS('근무표(입력)'!$F$3:$F$33, '근무표(입력)'!$C$3:$C$33, $M$36, '근무표(입력)'!$A$3:$A$33, $M66) + SUMIFS('근무표(입력)'!$J$3:$J$33, '근무표(입력)'!$G$3:$G$33, $M$36, '근무표(입력)'!$A$3:$A$33, $A31) + SUMIFS('근무표(입력)'!$N$3:$N$33, '근무표(입력)'!$K$3:$K$33, $M$36, '근무표(입력)'!$A$3:$A$33, $A31) + SUMIFS('근무표(입력)'!$R$3:$R$33, '근무표(입력)'!$O$3:$O$33, $M$36, '근무표(입력)'!$A$3:$A$33, $A31)</f>
        <v>0</v>
      </c>
      <c r="Q66" s="9" t="str">
        <f t="shared" si="22"/>
        <v/>
      </c>
      <c r="R66" s="7" t="str">
        <f t="shared" si="23"/>
        <v/>
      </c>
      <c r="S66" s="10">
        <f>SUMIFS('근무표(입력)'!$F$3:$F$33, '근무표(입력)'!$C$3:$C$33, $Q$36, '근무표(입력)'!$A$3:$A$33, $Q66) + SUMIFS('근무표(입력)'!$J$3:$J$33, '근무표(입력)'!$G$3:$G$33, $Q$36, '근무표(입력)'!$A$3:$A$33, $A31) + SUMIFS('근무표(입력)'!$N$3:$N$33, '근무표(입력)'!$K$3:$K$33, $Q$36, '근무표(입력)'!$A$3:$A$33, $A31) + SUMIFS('근무표(입력)'!$R$3:$R$33, '근무표(입력)'!$O$3:$O$33, $Q$36, '근무표(입력)'!$A$3:$A$33, $A31)</f>
        <v>0</v>
      </c>
      <c r="U66" s="9" t="str">
        <f t="shared" si="24"/>
        <v/>
      </c>
      <c r="V66" s="7" t="str">
        <f t="shared" si="25"/>
        <v/>
      </c>
      <c r="W66" s="10">
        <f>SUMIFS('근무표(입력)'!$F$3:$F$33, '근무표(입력)'!$C$3:$C$33, $U$36, '근무표(입력)'!$A$3:$A$33, $U66) + SUMIFS('근무표(입력)'!$J$3:$J$33, '근무표(입력)'!$G$3:$G$33, $U$36, '근무표(입력)'!$A$3:$A$33, $A31) + SUMIFS('근무표(입력)'!$N$3:$N$33, '근무표(입력)'!$K$3:$K$33, $U$36, '근무표(입력)'!$A$3:$A$33, $A31) + SUMIFS('근무표(입력)'!$R$3:$R$33, '근무표(입력)'!$O$3:$O$33, $U$36, '근무표(입력)'!$A$3:$A$33, $A31)</f>
        <v>0</v>
      </c>
      <c r="Y66" s="9" t="str">
        <f t="shared" si="26"/>
        <v/>
      </c>
      <c r="Z66" s="7" t="str">
        <f t="shared" si="27"/>
        <v/>
      </c>
      <c r="AA66" s="10">
        <f>SUMIFS('근무표(입력)'!$F$3:$F$33, '근무표(입력)'!$C$3:$C$33, $Y$36, '근무표(입력)'!$A$3:$A$33, $Y66) + SUMIFS('근무표(입력)'!$J$3:$J$33, '근무표(입력)'!$G$3:$G$33, $Y$36, '근무표(입력)'!$A$3:$A$33, $A31) + SUMIFS('근무표(입력)'!$N$3:$N$33, '근무표(입력)'!$K$3:$K$33, $Y$36, '근무표(입력)'!$A$3:$A$33, $A31) + SUMIFS('근무표(입력)'!$R$3:$R$33, '근무표(입력)'!$O$3:$O$33, $Y$36, '근무표(입력)'!$A$3:$A$33, $A31)</f>
        <v>0</v>
      </c>
    </row>
    <row r="67" spans="1:27" x14ac:dyDescent="0.3">
      <c r="A67" s="9" t="str">
        <f t="shared" si="14"/>
        <v/>
      </c>
      <c r="B67" s="7" t="str">
        <f t="shared" si="15"/>
        <v/>
      </c>
      <c r="C67" s="10">
        <f>SUMIFS('근무표(입력)'!$F$3:$F$33, '근무표(입력)'!$C$3:$C$33, $A$36, '근무표(입력)'!$A$3:$A$33, $A67) + SUMIFS('근무표(입력)'!$J$3:$J$33, '근무표(입력)'!$G$3:$G$33, $A$36, '근무표(입력)'!$A$3:$A$33, $A32) + SUMIFS('근무표(입력)'!$N$3:$N$33, '근무표(입력)'!$K$3:$K$33, $A$36, '근무표(입력)'!$A$3:$A$33, $A32) + SUMIFS('근무표(입력)'!$R$3:$R$33, '근무표(입력)'!$O$3:$O$33, $A$36, '근무표(입력)'!$A$3:$A$33, $A32)</f>
        <v>0</v>
      </c>
      <c r="E67" s="9" t="str">
        <f t="shared" si="16"/>
        <v/>
      </c>
      <c r="F67" s="7" t="str">
        <f t="shared" si="17"/>
        <v/>
      </c>
      <c r="G67" s="10">
        <f>SUMIFS('근무표(입력)'!$F$3:$F$33, '근무표(입력)'!$C$3:$C$33, $E$36, '근무표(입력)'!$A$3:$A$33, $E67) + SUMIFS('근무표(입력)'!$J$3:$J$33, '근무표(입력)'!$G$3:$G$33, $E$36, '근무표(입력)'!$A$3:$A$33, $A32) + SUMIFS('근무표(입력)'!$N$3:$N$33, '근무표(입력)'!$K$3:$K$33, $E$36, '근무표(입력)'!$A$3:$A$33, $A32) + SUMIFS('근무표(입력)'!$R$3:$R$33, '근무표(입력)'!$O$3:$O$33, $E$36, '근무표(입력)'!$A$3:$A$33, $A32)</f>
        <v>0</v>
      </c>
      <c r="I67" s="9" t="str">
        <f t="shared" si="18"/>
        <v/>
      </c>
      <c r="J67" s="7" t="str">
        <f t="shared" si="19"/>
        <v/>
      </c>
      <c r="K67" s="10">
        <f>SUMIFS('근무표(입력)'!$F$3:$F$33, '근무표(입력)'!$C$3:$C$33, $I$36, '근무표(입력)'!$A$3:$A$33, $I67) + SUMIFS('근무표(입력)'!$J$3:$J$33, '근무표(입력)'!$G$3:$G$33, $I$36, '근무표(입력)'!$A$3:$A$33, $A32) + SUMIFS('근무표(입력)'!$N$3:$N$33, '근무표(입력)'!$K$3:$K$33, $I$36, '근무표(입력)'!$A$3:$A$33, $A32) + SUMIFS('근무표(입력)'!$R$3:$R$33, '근무표(입력)'!$O$3:$O$33, $I$36, '근무표(입력)'!$A$3:$A$33, $A32)</f>
        <v>0</v>
      </c>
      <c r="M67" s="9" t="str">
        <f t="shared" si="20"/>
        <v/>
      </c>
      <c r="N67" s="7" t="str">
        <f t="shared" si="21"/>
        <v/>
      </c>
      <c r="O67" s="10">
        <f>SUMIFS('근무표(입력)'!$F$3:$F$33, '근무표(입력)'!$C$3:$C$33, $M$36, '근무표(입력)'!$A$3:$A$33, $M67) + SUMIFS('근무표(입력)'!$J$3:$J$33, '근무표(입력)'!$G$3:$G$33, $M$36, '근무표(입력)'!$A$3:$A$33, $A32) + SUMIFS('근무표(입력)'!$N$3:$N$33, '근무표(입력)'!$K$3:$K$33, $M$36, '근무표(입력)'!$A$3:$A$33, $A32) + SUMIFS('근무표(입력)'!$R$3:$R$33, '근무표(입력)'!$O$3:$O$33, $M$36, '근무표(입력)'!$A$3:$A$33, $A32)</f>
        <v>0</v>
      </c>
      <c r="Q67" s="9" t="str">
        <f t="shared" si="22"/>
        <v/>
      </c>
      <c r="R67" s="7" t="str">
        <f t="shared" si="23"/>
        <v/>
      </c>
      <c r="S67" s="10">
        <f>SUMIFS('근무표(입력)'!$F$3:$F$33, '근무표(입력)'!$C$3:$C$33, $Q$36, '근무표(입력)'!$A$3:$A$33, $Q67) + SUMIFS('근무표(입력)'!$J$3:$J$33, '근무표(입력)'!$G$3:$G$33, $Q$36, '근무표(입력)'!$A$3:$A$33, $A32) + SUMIFS('근무표(입력)'!$N$3:$N$33, '근무표(입력)'!$K$3:$K$33, $Q$36, '근무표(입력)'!$A$3:$A$33, $A32) + SUMIFS('근무표(입력)'!$R$3:$R$33, '근무표(입력)'!$O$3:$O$33, $Q$36, '근무표(입력)'!$A$3:$A$33, $A32)</f>
        <v>0</v>
      </c>
      <c r="U67" s="9" t="str">
        <f t="shared" si="24"/>
        <v/>
      </c>
      <c r="V67" s="7" t="str">
        <f t="shared" si="25"/>
        <v/>
      </c>
      <c r="W67" s="10">
        <f>SUMIFS('근무표(입력)'!$F$3:$F$33, '근무표(입력)'!$C$3:$C$33, $U$36, '근무표(입력)'!$A$3:$A$33, $U67) + SUMIFS('근무표(입력)'!$J$3:$J$33, '근무표(입력)'!$G$3:$G$33, $U$36, '근무표(입력)'!$A$3:$A$33, $A32) + SUMIFS('근무표(입력)'!$N$3:$N$33, '근무표(입력)'!$K$3:$K$33, $U$36, '근무표(입력)'!$A$3:$A$33, $A32) + SUMIFS('근무표(입력)'!$R$3:$R$33, '근무표(입력)'!$O$3:$O$33, $U$36, '근무표(입력)'!$A$3:$A$33, $A32)</f>
        <v>0</v>
      </c>
      <c r="Y67" s="9" t="str">
        <f t="shared" si="26"/>
        <v/>
      </c>
      <c r="Z67" s="7" t="str">
        <f t="shared" si="27"/>
        <v/>
      </c>
      <c r="AA67" s="10">
        <f>SUMIFS('근무표(입력)'!$F$3:$F$33, '근무표(입력)'!$C$3:$C$33, $Y$36, '근무표(입력)'!$A$3:$A$33, $Y67) + SUMIFS('근무표(입력)'!$J$3:$J$33, '근무표(입력)'!$G$3:$G$33, $Y$36, '근무표(입력)'!$A$3:$A$33, $A32) + SUMIFS('근무표(입력)'!$N$3:$N$33, '근무표(입력)'!$K$3:$K$33, $Y$36, '근무표(입력)'!$A$3:$A$33, $A32) + SUMIFS('근무표(입력)'!$R$3:$R$33, '근무표(입력)'!$O$3:$O$33, $Y$36, '근무표(입력)'!$A$3:$A$33, $A32)</f>
        <v>0</v>
      </c>
    </row>
    <row r="68" spans="1:27" x14ac:dyDescent="0.3">
      <c r="A68" s="9" t="str">
        <f t="shared" si="14"/>
        <v/>
      </c>
      <c r="B68" s="7" t="str">
        <f t="shared" si="15"/>
        <v/>
      </c>
      <c r="C68" s="10">
        <f>SUMIFS('근무표(입력)'!$F$3:$F$33, '근무표(입력)'!$C$3:$C$33, $A$36, '근무표(입력)'!$A$3:$A$33, $A68) + SUMIFS('근무표(입력)'!$J$3:$J$33, '근무표(입력)'!$G$3:$G$33, $A$36, '근무표(입력)'!$A$3:$A$33, $A33) + SUMIFS('근무표(입력)'!$N$3:$N$33, '근무표(입력)'!$K$3:$K$33, $A$36, '근무표(입력)'!$A$3:$A$33, $A33) + SUMIFS('근무표(입력)'!$R$3:$R$33, '근무표(입력)'!$O$3:$O$33, $A$36, '근무표(입력)'!$A$3:$A$33, $A33)</f>
        <v>0</v>
      </c>
      <c r="E68" s="9" t="str">
        <f t="shared" si="16"/>
        <v/>
      </c>
      <c r="F68" s="7" t="str">
        <f t="shared" si="17"/>
        <v/>
      </c>
      <c r="G68" s="10">
        <f>SUMIFS('근무표(입력)'!$F$3:$F$33, '근무표(입력)'!$C$3:$C$33, $E$36, '근무표(입력)'!$A$3:$A$33, $E68) + SUMIFS('근무표(입력)'!$J$3:$J$33, '근무표(입력)'!$G$3:$G$33, $E$36, '근무표(입력)'!$A$3:$A$33, $A33) + SUMIFS('근무표(입력)'!$N$3:$N$33, '근무표(입력)'!$K$3:$K$33, $E$36, '근무표(입력)'!$A$3:$A$33, $A33) + SUMIFS('근무표(입력)'!$R$3:$R$33, '근무표(입력)'!$O$3:$O$33, $E$36, '근무표(입력)'!$A$3:$A$33, $A33)</f>
        <v>0</v>
      </c>
      <c r="I68" s="9" t="str">
        <f t="shared" si="18"/>
        <v/>
      </c>
      <c r="J68" s="7" t="str">
        <f t="shared" si="19"/>
        <v/>
      </c>
      <c r="K68" s="10">
        <f>SUMIFS('근무표(입력)'!$F$3:$F$33, '근무표(입력)'!$C$3:$C$33, $I$36, '근무표(입력)'!$A$3:$A$33, $I68) + SUMIFS('근무표(입력)'!$J$3:$J$33, '근무표(입력)'!$G$3:$G$33, $I$36, '근무표(입력)'!$A$3:$A$33, $A33) + SUMIFS('근무표(입력)'!$N$3:$N$33, '근무표(입력)'!$K$3:$K$33, $I$36, '근무표(입력)'!$A$3:$A$33, $A33) + SUMIFS('근무표(입력)'!$R$3:$R$33, '근무표(입력)'!$O$3:$O$33, $I$36, '근무표(입력)'!$A$3:$A$33, $A33)</f>
        <v>0</v>
      </c>
      <c r="M68" s="9" t="str">
        <f t="shared" si="20"/>
        <v/>
      </c>
      <c r="N68" s="7" t="str">
        <f t="shared" si="21"/>
        <v/>
      </c>
      <c r="O68" s="10">
        <f>SUMIFS('근무표(입력)'!$F$3:$F$33, '근무표(입력)'!$C$3:$C$33, $M$36, '근무표(입력)'!$A$3:$A$33, $M68) + SUMIFS('근무표(입력)'!$J$3:$J$33, '근무표(입력)'!$G$3:$G$33, $M$36, '근무표(입력)'!$A$3:$A$33, $A33) + SUMIFS('근무표(입력)'!$N$3:$N$33, '근무표(입력)'!$K$3:$K$33, $M$36, '근무표(입력)'!$A$3:$A$33, $A33) + SUMIFS('근무표(입력)'!$R$3:$R$33, '근무표(입력)'!$O$3:$O$33, $M$36, '근무표(입력)'!$A$3:$A$33, $A33)</f>
        <v>0</v>
      </c>
      <c r="Q68" s="9" t="str">
        <f t="shared" si="22"/>
        <v/>
      </c>
      <c r="R68" s="7" t="str">
        <f t="shared" si="23"/>
        <v/>
      </c>
      <c r="S68" s="10">
        <f>SUMIFS('근무표(입력)'!$F$3:$F$33, '근무표(입력)'!$C$3:$C$33, $Q$36, '근무표(입력)'!$A$3:$A$33, $Q68) + SUMIFS('근무표(입력)'!$J$3:$J$33, '근무표(입력)'!$G$3:$G$33, $Q$36, '근무표(입력)'!$A$3:$A$33, $A33) + SUMIFS('근무표(입력)'!$N$3:$N$33, '근무표(입력)'!$K$3:$K$33, $Q$36, '근무표(입력)'!$A$3:$A$33, $A33) + SUMIFS('근무표(입력)'!$R$3:$R$33, '근무표(입력)'!$O$3:$O$33, $Q$36, '근무표(입력)'!$A$3:$A$33, $A33)</f>
        <v>0</v>
      </c>
      <c r="U68" s="9" t="str">
        <f t="shared" si="24"/>
        <v/>
      </c>
      <c r="V68" s="7" t="str">
        <f t="shared" si="25"/>
        <v/>
      </c>
      <c r="W68" s="10">
        <f>SUMIFS('근무표(입력)'!$F$3:$F$33, '근무표(입력)'!$C$3:$C$33, $U$36, '근무표(입력)'!$A$3:$A$33, $U68) + SUMIFS('근무표(입력)'!$J$3:$J$33, '근무표(입력)'!$G$3:$G$33, $U$36, '근무표(입력)'!$A$3:$A$33, $A33) + SUMIFS('근무표(입력)'!$N$3:$N$33, '근무표(입력)'!$K$3:$K$33, $U$36, '근무표(입력)'!$A$3:$A$33, $A33) + SUMIFS('근무표(입력)'!$R$3:$R$33, '근무표(입력)'!$O$3:$O$33, $U$36, '근무표(입력)'!$A$3:$A$33, $A33)</f>
        <v>0</v>
      </c>
      <c r="Y68" s="9" t="str">
        <f t="shared" si="26"/>
        <v/>
      </c>
      <c r="Z68" s="7" t="str">
        <f t="shared" si="27"/>
        <v/>
      </c>
      <c r="AA68" s="10">
        <f>SUMIFS('근무표(입력)'!$F$3:$F$33, '근무표(입력)'!$C$3:$C$33, $Y$36, '근무표(입력)'!$A$3:$A$33, $Y68) + SUMIFS('근무표(입력)'!$J$3:$J$33, '근무표(입력)'!$G$3:$G$33, $Y$36, '근무표(입력)'!$A$3:$A$33, $A33) + SUMIFS('근무표(입력)'!$N$3:$N$33, '근무표(입력)'!$K$3:$K$33, $Y$36, '근무표(입력)'!$A$3:$A$33, $A33) + SUMIFS('근무표(입력)'!$R$3:$R$33, '근무표(입력)'!$O$3:$O$33, $Y$36, '근무표(입력)'!$A$3:$A$33, $A33)</f>
        <v>0</v>
      </c>
    </row>
    <row r="69" spans="1:27" ht="17.25" thickBot="1" x14ac:dyDescent="0.35">
      <c r="A69" s="132" t="s">
        <v>34</v>
      </c>
      <c r="B69" s="133"/>
      <c r="C69" s="11">
        <f>SUM(C38:C68)</f>
        <v>0</v>
      </c>
      <c r="E69" s="132" t="s">
        <v>34</v>
      </c>
      <c r="F69" s="133"/>
      <c r="G69" s="11">
        <f>SUM(G38:G68)</f>
        <v>0</v>
      </c>
      <c r="I69" s="132" t="s">
        <v>34</v>
      </c>
      <c r="J69" s="133"/>
      <c r="K69" s="11">
        <f>SUM(K38:K68)</f>
        <v>0</v>
      </c>
      <c r="M69" s="132" t="s">
        <v>34</v>
      </c>
      <c r="N69" s="133"/>
      <c r="O69" s="11">
        <f>SUM(O38:O68)</f>
        <v>0</v>
      </c>
      <c r="Q69" s="132" t="s">
        <v>34</v>
      </c>
      <c r="R69" s="133"/>
      <c r="S69" s="11">
        <f>SUM(S38:S68)</f>
        <v>0</v>
      </c>
      <c r="U69" s="132" t="s">
        <v>34</v>
      </c>
      <c r="V69" s="133"/>
      <c r="W69" s="11">
        <f>SUM(W38:W68)</f>
        <v>0</v>
      </c>
      <c r="Y69" s="132" t="s">
        <v>34</v>
      </c>
      <c r="Z69" s="133"/>
      <c r="AA69" s="11">
        <f>SUM(AA38:AA68)</f>
        <v>0</v>
      </c>
    </row>
  </sheetData>
  <mergeCells count="28">
    <mergeCell ref="Q1:S2"/>
    <mergeCell ref="Q36:S37"/>
    <mergeCell ref="Q69:R69"/>
    <mergeCell ref="U1:W2"/>
    <mergeCell ref="Y1:AA2"/>
    <mergeCell ref="Q34:R34"/>
    <mergeCell ref="U34:V34"/>
    <mergeCell ref="Y34:Z34"/>
    <mergeCell ref="U36:W37"/>
    <mergeCell ref="U69:V69"/>
    <mergeCell ref="M36:O37"/>
    <mergeCell ref="M69:N69"/>
    <mergeCell ref="Y36:AA37"/>
    <mergeCell ref="Y69:Z69"/>
    <mergeCell ref="A1:C2"/>
    <mergeCell ref="E1:G2"/>
    <mergeCell ref="I1:K2"/>
    <mergeCell ref="M1:O2"/>
    <mergeCell ref="A69:B69"/>
    <mergeCell ref="A36:C37"/>
    <mergeCell ref="A34:B34"/>
    <mergeCell ref="E34:F34"/>
    <mergeCell ref="I34:J34"/>
    <mergeCell ref="M34:N34"/>
    <mergeCell ref="E36:G37"/>
    <mergeCell ref="E69:F69"/>
    <mergeCell ref="I36:K37"/>
    <mergeCell ref="I69:J69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Views>
    <sheetView workbookViewId="0">
      <selection activeCell="E5" sqref="E5"/>
    </sheetView>
  </sheetViews>
  <sheetFormatPr defaultRowHeight="16.5" x14ac:dyDescent="0.3"/>
  <cols>
    <col min="3" max="3" width="18" customWidth="1"/>
    <col min="4" max="4" width="13.25" bestFit="1" customWidth="1"/>
    <col min="5" max="5" width="9.875" bestFit="1" customWidth="1"/>
    <col min="6" max="6" width="1.75" customWidth="1"/>
    <col min="9" max="9" width="12.625" bestFit="1" customWidth="1"/>
    <col min="10" max="10" width="13.25" bestFit="1" customWidth="1"/>
    <col min="11" max="11" width="9.875" bestFit="1" customWidth="1"/>
    <col min="12" max="12" width="1.25" customWidth="1"/>
    <col min="15" max="15" width="12.625" bestFit="1" customWidth="1"/>
    <col min="16" max="16" width="13.25" bestFit="1" customWidth="1"/>
    <col min="17" max="17" width="9.875" bestFit="1" customWidth="1"/>
    <col min="18" max="18" width="1.125" customWidth="1"/>
    <col min="21" max="21" width="12.625" bestFit="1" customWidth="1"/>
    <col min="22" max="22" width="13.25" bestFit="1" customWidth="1"/>
  </cols>
  <sheetData>
    <row r="1" spans="1:5" ht="12" customHeight="1" x14ac:dyDescent="0.3">
      <c r="A1" s="1" t="s">
        <v>9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ht="12" customHeight="1" x14ac:dyDescent="0.3">
      <c r="A2" s="2" t="str">
        <f>'근무표(입력)'!Y3</f>
        <v>김도윤</v>
      </c>
      <c r="B2" s="2">
        <f>WEEKNUM('근무표(입력)'!$A$3, 2) + 0</f>
        <v>5</v>
      </c>
      <c r="C2" s="3">
        <f>SUMIFS('근무표(입력)'!$F$3:$F$33, '근무표(입력)'!$C$3:$C$33, $A2, '근무표(입력)'!$AN$3:$AN$33, $B2)+SUMIFS('근무표(입력)'!$J$3:$J$33, '근무표(입력)'!$G$3:$G$33, $A2, '근무표(입력)'!$AN$3:$AN$33, $B2)+SUMIFS('근무표(입력)'!$N$3:$N$33, '근무표(입력)'!$K$3:$K$33, $A2, '근무표(입력)'!$AN$3:$AN$33, $B2)+SUMIFS('근무표(입력)'!$R$3:$R$33, '근무표(입력)'!$O$3:$O$33, $A2, '근무표(입력)'!$AN$3:$AN$33, $B2)</f>
        <v>0</v>
      </c>
      <c r="D2" s="2" t="str">
        <f t="shared" ref="D2:D7" si="0">IF(C2&gt;=15, "O", "X")</f>
        <v>X</v>
      </c>
      <c r="E2" s="4">
        <f t="shared" ref="E2:E7" si="1">IF(D2="O", MIN(C2/5, 8)*10030, 0)</f>
        <v>0</v>
      </c>
    </row>
    <row r="3" spans="1:5" ht="12" customHeight="1" x14ac:dyDescent="0.3">
      <c r="A3" s="2" t="str">
        <f>A2</f>
        <v>김도윤</v>
      </c>
      <c r="B3" s="2">
        <f>WEEKNUM('근무표(입력)'!$A$3, 2) + 1</f>
        <v>6</v>
      </c>
      <c r="C3" s="3">
        <f>SUMIFS('근무표(입력)'!$F$3:$F$33, '근무표(입력)'!$C$3:$C$33, $A3, '근무표(입력)'!$AN$3:$AN$33, $B3)+SUMIFS('근무표(입력)'!$J$3:$J$33, '근무표(입력)'!$G$3:$G$33, $A3, '근무표(입력)'!$AN$3:$AN$33, $B3)+SUMIFS('근무표(입력)'!$N$3:$N$33, '근무표(입력)'!$K$3:$K$33, $A3, '근무표(입력)'!$AN$3:$AN$33, $B3)+SUMIFS('근무표(입력)'!$R$3:$R$33, '근무표(입력)'!$O$3:$O$33, $A3, '근무표(입력)'!$AN$3:$AN$33, $B3)</f>
        <v>0</v>
      </c>
      <c r="D3" s="2" t="str">
        <f t="shared" si="0"/>
        <v>X</v>
      </c>
      <c r="E3" s="4">
        <f t="shared" si="1"/>
        <v>0</v>
      </c>
    </row>
    <row r="4" spans="1:5" ht="12" customHeight="1" x14ac:dyDescent="0.3">
      <c r="A4" s="2" t="str">
        <f>A3</f>
        <v>김도윤</v>
      </c>
      <c r="B4" s="2">
        <f>WEEKNUM('근무표(입력)'!$A$3, 2) + 2</f>
        <v>7</v>
      </c>
      <c r="C4" s="3">
        <f>SUMIFS('근무표(입력)'!$F$3:$F$33, '근무표(입력)'!$C$3:$C$33, $A4, '근무표(입력)'!$AN$3:$AN$33, $B4)+SUMIFS('근무표(입력)'!$J$3:$J$33, '근무표(입력)'!$G$3:$G$33, $A4, '근무표(입력)'!$AN$3:$AN$33, $B4)+SUMIFS('근무표(입력)'!$N$3:$N$33, '근무표(입력)'!$K$3:$K$33, $A4, '근무표(입력)'!$AN$3:$AN$33, $B4)+SUMIFS('근무표(입력)'!$R$3:$R$33, '근무표(입력)'!$O$3:$O$33, $A4, '근무표(입력)'!$AN$3:$AN$33, $B4)</f>
        <v>0</v>
      </c>
      <c r="D4" s="2" t="str">
        <f t="shared" si="0"/>
        <v>X</v>
      </c>
      <c r="E4" s="4">
        <f t="shared" si="1"/>
        <v>0</v>
      </c>
    </row>
    <row r="5" spans="1:5" ht="12" customHeight="1" x14ac:dyDescent="0.3">
      <c r="A5" s="2" t="str">
        <f>A4</f>
        <v>김도윤</v>
      </c>
      <c r="B5" s="2">
        <f>WEEKNUM('근무표(입력)'!$A$3, 2) + 3</f>
        <v>8</v>
      </c>
      <c r="C5" s="3">
        <f>SUMIFS('근무표(입력)'!$F$3:$F$33, '근무표(입력)'!$C$3:$C$33, $A5, '근무표(입력)'!$AN$3:$AN$33, $B5)+SUMIFS('근무표(입력)'!$J$3:$J$33, '근무표(입력)'!$G$3:$G$33, $A5, '근무표(입력)'!$AN$3:$AN$33, $B5)+SUMIFS('근무표(입력)'!$N$3:$N$33, '근무표(입력)'!$K$3:$K$33, $A5, '근무표(입력)'!$AN$3:$AN$33, $B5)+SUMIFS('근무표(입력)'!$R$3:$R$33, '근무표(입력)'!$O$3:$O$33, $A5, '근무표(입력)'!$AN$3:$AN$33, $B5)</f>
        <v>0</v>
      </c>
      <c r="D5" s="2" t="str">
        <f t="shared" si="0"/>
        <v>X</v>
      </c>
      <c r="E5" s="4">
        <f t="shared" si="1"/>
        <v>0</v>
      </c>
    </row>
    <row r="6" spans="1:5" ht="12" customHeight="1" x14ac:dyDescent="0.3">
      <c r="A6" s="2" t="str">
        <f>A5</f>
        <v>김도윤</v>
      </c>
      <c r="B6" s="2">
        <f>WEEKNUM('근무표(입력)'!$A$3, 2) + 4</f>
        <v>9</v>
      </c>
      <c r="C6" s="3">
        <f>SUMIFS('근무표(입력)'!$F$3:$F$33, '근무표(입력)'!$C$3:$C$33, $A6, '근무표(입력)'!$AN$3:$AN$33, $B6)+SUMIFS('근무표(입력)'!$J$3:$J$33, '근무표(입력)'!$G$3:$G$33, $A6, '근무표(입력)'!$AN$3:$AN$33, $B6)+SUMIFS('근무표(입력)'!$N$3:$N$33, '근무표(입력)'!$K$3:$K$33, $A6, '근무표(입력)'!$AN$3:$AN$33, $B6)+SUMIFS('근무표(입력)'!$R$3:$R$33, '근무표(입력)'!$O$3:$O$33, $A6, '근무표(입력)'!$AN$3:$AN$33, $B6)</f>
        <v>0</v>
      </c>
      <c r="D6" s="2" t="str">
        <f t="shared" si="0"/>
        <v>X</v>
      </c>
      <c r="E6" s="4">
        <f t="shared" si="1"/>
        <v>0</v>
      </c>
    </row>
    <row r="7" spans="1:5" ht="12" customHeight="1" x14ac:dyDescent="0.3">
      <c r="A7" s="2" t="str">
        <f>A6</f>
        <v>김도윤</v>
      </c>
      <c r="B7" s="2">
        <f>WEEKNUM('근무표(입력)'!$A$3, 2) + 5</f>
        <v>10</v>
      </c>
      <c r="C7" s="3">
        <f>SUMIFS('근무표(입력)'!$F$3:$F$33, '근무표(입력)'!$C$3:$C$33, $A7, '근무표(입력)'!$AN$3:$AN$33, $B7)+SUMIFS('근무표(입력)'!$J$3:$J$33, '근무표(입력)'!$G$3:$G$33, $A7, '근무표(입력)'!$AN$3:$AN$33, $B7)+SUMIFS('근무표(입력)'!$N$3:$N$33, '근무표(입력)'!$K$3:$K$33, $A7, '근무표(입력)'!$AN$3:$AN$33, $B7)+SUMIFS('근무표(입력)'!$R$3:$R$33, '근무표(입력)'!$O$3:$O$33, $A7, '근무표(입력)'!$AN$3:$AN$33, $B7)</f>
        <v>0</v>
      </c>
      <c r="D7" s="2" t="str">
        <f t="shared" si="0"/>
        <v>X</v>
      </c>
      <c r="E7" s="4">
        <f t="shared" si="1"/>
        <v>0</v>
      </c>
    </row>
    <row r="8" spans="1:5" ht="12" customHeight="1" x14ac:dyDescent="0.3"/>
    <row r="9" spans="1:5" ht="12" customHeight="1" x14ac:dyDescent="0.3">
      <c r="A9" s="1" t="s">
        <v>9</v>
      </c>
      <c r="B9" s="1" t="s">
        <v>18</v>
      </c>
      <c r="C9" s="1" t="s">
        <v>19</v>
      </c>
      <c r="D9" s="1" t="s">
        <v>20</v>
      </c>
      <c r="E9" s="1" t="s">
        <v>21</v>
      </c>
    </row>
    <row r="10" spans="1:5" ht="12" customHeight="1" x14ac:dyDescent="0.3">
      <c r="A10" s="2" t="str">
        <f>'근무표(입력)'!Y4</f>
        <v>김지수</v>
      </c>
      <c r="B10" s="2">
        <f>WEEKNUM('근무표(입력)'!$A$3, 2) + 0</f>
        <v>5</v>
      </c>
      <c r="C10" s="3">
        <f>SUMIFS('근무표(입력)'!$F$3:$F$33, '근무표(입력)'!$C$3:$C$33, $A10, '근무표(입력)'!$AN$3:$AN$33, $B10)+SUMIFS('근무표(입력)'!$J$3:$J$33, '근무표(입력)'!$G$3:$G$33, $A10, '근무표(입력)'!$AN$3:$AN$33, $B10)+SUMIFS('근무표(입력)'!$N$3:$N$33, '근무표(입력)'!$K$3:$K$33, $A10, '근무표(입력)'!$AN$3:$AN$33, $B10)+SUMIFS('근무표(입력)'!$R$3:$R$33, '근무표(입력)'!$O$3:$O$33, $A10, '근무표(입력)'!$AN$3:$AN$33, $B10)</f>
        <v>0</v>
      </c>
      <c r="D10" s="2" t="str">
        <f t="shared" ref="D10:D15" si="2">IF(C10&gt;=15, "O", "X")</f>
        <v>X</v>
      </c>
      <c r="E10" s="4">
        <f t="shared" ref="E10:E15" si="3">IF(D10="O", MIN(C10/5, 8)*10030, 0)</f>
        <v>0</v>
      </c>
    </row>
    <row r="11" spans="1:5" ht="12" customHeight="1" x14ac:dyDescent="0.3">
      <c r="A11" s="2" t="str">
        <f>A10</f>
        <v>김지수</v>
      </c>
      <c r="B11" s="2">
        <f>WEEKNUM('근무표(입력)'!$A$3, 2) + 1</f>
        <v>6</v>
      </c>
      <c r="C11" s="3">
        <f>SUMIFS('근무표(입력)'!$F$3:$F$33, '근무표(입력)'!$C$3:$C$33, $A11, '근무표(입력)'!$AN$3:$AN$33, $B11)+SUMIFS('근무표(입력)'!$J$3:$J$33, '근무표(입력)'!$G$3:$G$33, $A11, '근무표(입력)'!$AN$3:$AN$33, $B11)+SUMIFS('근무표(입력)'!$N$3:$N$33, '근무표(입력)'!$K$3:$K$33, $A11, '근무표(입력)'!$AN$3:$AN$33, $B11)+SUMIFS('근무표(입력)'!$R$3:$R$33, '근무표(입력)'!$O$3:$O$33, $A11, '근무표(입력)'!$AN$3:$AN$33, $B11)</f>
        <v>0</v>
      </c>
      <c r="D11" s="2" t="str">
        <f t="shared" si="2"/>
        <v>X</v>
      </c>
      <c r="E11" s="4">
        <f t="shared" si="3"/>
        <v>0</v>
      </c>
    </row>
    <row r="12" spans="1:5" ht="12" customHeight="1" x14ac:dyDescent="0.3">
      <c r="A12" s="2" t="str">
        <f>A11</f>
        <v>김지수</v>
      </c>
      <c r="B12" s="2">
        <f>WEEKNUM('근무표(입력)'!$A$3, 2) + 2</f>
        <v>7</v>
      </c>
      <c r="C12" s="3">
        <f>SUMIFS('근무표(입력)'!$F$3:$F$33, '근무표(입력)'!$C$3:$C$33, $A12, '근무표(입력)'!$AN$3:$AN$33, $B12)+SUMIFS('근무표(입력)'!$J$3:$J$33, '근무표(입력)'!$G$3:$G$33, $A12, '근무표(입력)'!$AN$3:$AN$33, $B12)+SUMIFS('근무표(입력)'!$N$3:$N$33, '근무표(입력)'!$K$3:$K$33, $A12, '근무표(입력)'!$AN$3:$AN$33, $B12)+SUMIFS('근무표(입력)'!$R$3:$R$33, '근무표(입력)'!$O$3:$O$33, $A12, '근무표(입력)'!$AN$3:$AN$33, $B12)</f>
        <v>0</v>
      </c>
      <c r="D12" s="2" t="str">
        <f t="shared" si="2"/>
        <v>X</v>
      </c>
      <c r="E12" s="4">
        <f t="shared" si="3"/>
        <v>0</v>
      </c>
    </row>
    <row r="13" spans="1:5" ht="12" customHeight="1" x14ac:dyDescent="0.3">
      <c r="A13" s="2" t="str">
        <f>A12</f>
        <v>김지수</v>
      </c>
      <c r="B13" s="2">
        <f>WEEKNUM('근무표(입력)'!$A$3, 2) + 3</f>
        <v>8</v>
      </c>
      <c r="C13" s="3">
        <f>SUMIFS('근무표(입력)'!$F$3:$F$33, '근무표(입력)'!$C$3:$C$33, $A13, '근무표(입력)'!$AN$3:$AN$33, $B13)+SUMIFS('근무표(입력)'!$J$3:$J$33, '근무표(입력)'!$G$3:$G$33, $A13, '근무표(입력)'!$AN$3:$AN$33, $B13)+SUMIFS('근무표(입력)'!$N$3:$N$33, '근무표(입력)'!$K$3:$K$33, $A13, '근무표(입력)'!$AN$3:$AN$33, $B13)+SUMIFS('근무표(입력)'!$R$3:$R$33, '근무표(입력)'!$O$3:$O$33, $A13, '근무표(입력)'!$AN$3:$AN$33, $B13)</f>
        <v>0</v>
      </c>
      <c r="D13" s="2" t="str">
        <f t="shared" si="2"/>
        <v>X</v>
      </c>
      <c r="E13" s="4">
        <f t="shared" si="3"/>
        <v>0</v>
      </c>
    </row>
    <row r="14" spans="1:5" ht="12" customHeight="1" x14ac:dyDescent="0.3">
      <c r="A14" s="2" t="str">
        <f>A13</f>
        <v>김지수</v>
      </c>
      <c r="B14" s="2">
        <f>WEEKNUM('근무표(입력)'!$A$3, 2) + 4</f>
        <v>9</v>
      </c>
      <c r="C14" s="3">
        <f>SUMIFS('근무표(입력)'!$F$3:$F$33, '근무표(입력)'!$C$3:$C$33, $A14, '근무표(입력)'!$AN$3:$AN$33, $B14)+SUMIFS('근무표(입력)'!$J$3:$J$33, '근무표(입력)'!$G$3:$G$33, $A14, '근무표(입력)'!$AN$3:$AN$33, $B14)+SUMIFS('근무표(입력)'!$N$3:$N$33, '근무표(입력)'!$K$3:$K$33, $A14, '근무표(입력)'!$AN$3:$AN$33, $B14)+SUMIFS('근무표(입력)'!$R$3:$R$33, '근무표(입력)'!$O$3:$O$33, $A14, '근무표(입력)'!$AN$3:$AN$33, $B14)</f>
        <v>0</v>
      </c>
      <c r="D14" s="2" t="str">
        <f t="shared" si="2"/>
        <v>X</v>
      </c>
      <c r="E14" s="4">
        <f t="shared" si="3"/>
        <v>0</v>
      </c>
    </row>
    <row r="15" spans="1:5" ht="12" customHeight="1" x14ac:dyDescent="0.3">
      <c r="A15" s="2" t="str">
        <f>A14</f>
        <v>김지수</v>
      </c>
      <c r="B15" s="2">
        <f>WEEKNUM('근무표(입력)'!$A$3, 2) + 5</f>
        <v>10</v>
      </c>
      <c r="C15" s="3">
        <f>SUMIFS('근무표(입력)'!$F$3:$F$33, '근무표(입력)'!$C$3:$C$33, $A15, '근무표(입력)'!$AN$3:$AN$33, $B15)+SUMIFS('근무표(입력)'!$J$3:$J$33, '근무표(입력)'!$G$3:$G$33, $A15, '근무표(입력)'!$AN$3:$AN$33, $B15)+SUMIFS('근무표(입력)'!$N$3:$N$33, '근무표(입력)'!$K$3:$K$33, $A15, '근무표(입력)'!$AN$3:$AN$33, $B15)+SUMIFS('근무표(입력)'!$R$3:$R$33, '근무표(입력)'!$O$3:$O$33, $A15, '근무표(입력)'!$AN$3:$AN$33, $B15)</f>
        <v>0</v>
      </c>
      <c r="D15" s="2" t="str">
        <f t="shared" si="2"/>
        <v>X</v>
      </c>
      <c r="E15" s="4">
        <f t="shared" si="3"/>
        <v>0</v>
      </c>
    </row>
    <row r="16" spans="1:5" ht="12" customHeight="1" x14ac:dyDescent="0.3"/>
    <row r="17" spans="1:5" ht="12" customHeight="1" x14ac:dyDescent="0.3">
      <c r="A17" s="1" t="s">
        <v>9</v>
      </c>
      <c r="B17" s="1" t="s">
        <v>18</v>
      </c>
      <c r="C17" s="1" t="s">
        <v>19</v>
      </c>
      <c r="D17" s="1" t="s">
        <v>20</v>
      </c>
      <c r="E17" s="1" t="s">
        <v>21</v>
      </c>
    </row>
    <row r="18" spans="1:5" ht="12" customHeight="1" x14ac:dyDescent="0.3">
      <c r="A18" s="2" t="str">
        <f>'근무표(입력)'!Y5</f>
        <v>김현호</v>
      </c>
      <c r="B18" s="2">
        <f>WEEKNUM('근무표(입력)'!$A$3, 2) + 0</f>
        <v>5</v>
      </c>
      <c r="C18" s="3">
        <f>SUMIFS('근무표(입력)'!$F$3:$F$33, '근무표(입력)'!$C$3:$C$33, $A18, '근무표(입력)'!$AN$3:$AN$33, $B18)+SUMIFS('근무표(입력)'!$J$3:$J$33, '근무표(입력)'!$G$3:$G$33, $A18, '근무표(입력)'!$AN$3:$AN$33, $B18)+SUMIFS('근무표(입력)'!$N$3:$N$33, '근무표(입력)'!$K$3:$K$33, $A18, '근무표(입력)'!$AN$3:$AN$33, $B18)+SUMIFS('근무표(입력)'!$R$3:$R$33, '근무표(입력)'!$O$3:$O$33, $A18, '근무표(입력)'!$AN$3:$AN$33, $B18)</f>
        <v>0</v>
      </c>
      <c r="D18" s="2" t="str">
        <f t="shared" ref="D18:D23" si="4">IF(C18&gt;=15, "O", "X")</f>
        <v>X</v>
      </c>
      <c r="E18" s="4">
        <f t="shared" ref="E18:E23" si="5">IF(D18="O", MIN(C18/5, 8)*10030, 0)</f>
        <v>0</v>
      </c>
    </row>
    <row r="19" spans="1:5" ht="12" customHeight="1" x14ac:dyDescent="0.3">
      <c r="A19" s="2" t="str">
        <f>A18</f>
        <v>김현호</v>
      </c>
      <c r="B19" s="2">
        <f>WEEKNUM('근무표(입력)'!$A$3, 2) + 1</f>
        <v>6</v>
      </c>
      <c r="C19" s="3">
        <f>SUMIFS('근무표(입력)'!$F$3:$F$33, '근무표(입력)'!$C$3:$C$33, $A19, '근무표(입력)'!$AN$3:$AN$33, $B19)+SUMIFS('근무표(입력)'!$J$3:$J$33, '근무표(입력)'!$G$3:$G$33, $A19, '근무표(입력)'!$AN$3:$AN$33, $B19)+SUMIFS('근무표(입력)'!$N$3:$N$33, '근무표(입력)'!$K$3:$K$33, $A19, '근무표(입력)'!$AN$3:$AN$33, $B19)+SUMIFS('근무표(입력)'!$R$3:$R$33, '근무표(입력)'!$O$3:$O$33, $A19, '근무표(입력)'!$AN$3:$AN$33, $B19)</f>
        <v>0</v>
      </c>
      <c r="D19" s="2" t="str">
        <f t="shared" si="4"/>
        <v>X</v>
      </c>
      <c r="E19" s="4">
        <f t="shared" si="5"/>
        <v>0</v>
      </c>
    </row>
    <row r="20" spans="1:5" ht="12" customHeight="1" x14ac:dyDescent="0.3">
      <c r="A20" s="2" t="str">
        <f>A19</f>
        <v>김현호</v>
      </c>
      <c r="B20" s="2">
        <f>WEEKNUM('근무표(입력)'!$A$3, 2) + 2</f>
        <v>7</v>
      </c>
      <c r="C20" s="3">
        <f>SUMIFS('근무표(입력)'!$F$3:$F$33, '근무표(입력)'!$C$3:$C$33, $A20, '근무표(입력)'!$AN$3:$AN$33, $B20)+SUMIFS('근무표(입력)'!$J$3:$J$33, '근무표(입력)'!$G$3:$G$33, $A20, '근무표(입력)'!$AN$3:$AN$33, $B20)+SUMIFS('근무표(입력)'!$N$3:$N$33, '근무표(입력)'!$K$3:$K$33, $A20, '근무표(입력)'!$AN$3:$AN$33, $B20)+SUMIFS('근무표(입력)'!$R$3:$R$33, '근무표(입력)'!$O$3:$O$33, $A20, '근무표(입력)'!$AN$3:$AN$33, $B20)</f>
        <v>0</v>
      </c>
      <c r="D20" s="2" t="str">
        <f t="shared" si="4"/>
        <v>X</v>
      </c>
      <c r="E20" s="4">
        <f t="shared" si="5"/>
        <v>0</v>
      </c>
    </row>
    <row r="21" spans="1:5" ht="12" customHeight="1" x14ac:dyDescent="0.3">
      <c r="A21" s="2" t="str">
        <f>A20</f>
        <v>김현호</v>
      </c>
      <c r="B21" s="2">
        <f>WEEKNUM('근무표(입력)'!$A$3, 2) + 3</f>
        <v>8</v>
      </c>
      <c r="C21" s="3">
        <f>SUMIFS('근무표(입력)'!$F$3:$F$33, '근무표(입력)'!$C$3:$C$33, $A21, '근무표(입력)'!$AN$3:$AN$33, $B21)+SUMIFS('근무표(입력)'!$J$3:$J$33, '근무표(입력)'!$G$3:$G$33, $A21, '근무표(입력)'!$AN$3:$AN$33, $B21)+SUMIFS('근무표(입력)'!$N$3:$N$33, '근무표(입력)'!$K$3:$K$33, $A21, '근무표(입력)'!$AN$3:$AN$33, $B21)+SUMIFS('근무표(입력)'!$R$3:$R$33, '근무표(입력)'!$O$3:$O$33, $A21, '근무표(입력)'!$AN$3:$AN$33, $B21)</f>
        <v>0</v>
      </c>
      <c r="D21" s="2" t="str">
        <f t="shared" si="4"/>
        <v>X</v>
      </c>
      <c r="E21" s="4">
        <f t="shared" si="5"/>
        <v>0</v>
      </c>
    </row>
    <row r="22" spans="1:5" ht="12" customHeight="1" x14ac:dyDescent="0.3">
      <c r="A22" s="2" t="str">
        <f>A21</f>
        <v>김현호</v>
      </c>
      <c r="B22" s="2">
        <f>WEEKNUM('근무표(입력)'!$A$3, 2) + 4</f>
        <v>9</v>
      </c>
      <c r="C22" s="3">
        <f>SUMIFS('근무표(입력)'!$F$3:$F$33, '근무표(입력)'!$C$3:$C$33, $A22, '근무표(입력)'!$AN$3:$AN$33, $B22)+SUMIFS('근무표(입력)'!$J$3:$J$33, '근무표(입력)'!$G$3:$G$33, $A22, '근무표(입력)'!$AN$3:$AN$33, $B22)+SUMIFS('근무표(입력)'!$N$3:$N$33, '근무표(입력)'!$K$3:$K$33, $A22, '근무표(입력)'!$AN$3:$AN$33, $B22)+SUMIFS('근무표(입력)'!$R$3:$R$33, '근무표(입력)'!$O$3:$O$33, $A22, '근무표(입력)'!$AN$3:$AN$33, $B22)</f>
        <v>0</v>
      </c>
      <c r="D22" s="2" t="str">
        <f t="shared" si="4"/>
        <v>X</v>
      </c>
      <c r="E22" s="4">
        <f t="shared" si="5"/>
        <v>0</v>
      </c>
    </row>
    <row r="23" spans="1:5" ht="12" customHeight="1" x14ac:dyDescent="0.3">
      <c r="A23" s="2" t="str">
        <f>A22</f>
        <v>김현호</v>
      </c>
      <c r="B23" s="2">
        <f>WEEKNUM('근무표(입력)'!$A$3, 2) + 5</f>
        <v>10</v>
      </c>
      <c r="C23" s="3">
        <f>SUMIFS('근무표(입력)'!$F$3:$F$33, '근무표(입력)'!$C$3:$C$33, $A23, '근무표(입력)'!$AN$3:$AN$33, $B23)+SUMIFS('근무표(입력)'!$J$3:$J$33, '근무표(입력)'!$G$3:$G$33, $A23, '근무표(입력)'!$AN$3:$AN$33, $B23)+SUMIFS('근무표(입력)'!$N$3:$N$33, '근무표(입력)'!$K$3:$K$33, $A23, '근무표(입력)'!$AN$3:$AN$33, $B23)+SUMIFS('근무표(입력)'!$R$3:$R$33, '근무표(입력)'!$O$3:$O$33, $A23, '근무표(입력)'!$AN$3:$AN$33, $B23)</f>
        <v>0</v>
      </c>
      <c r="D23" s="2" t="str">
        <f t="shared" si="4"/>
        <v>X</v>
      </c>
      <c r="E23" s="4">
        <f t="shared" si="5"/>
        <v>0</v>
      </c>
    </row>
    <row r="24" spans="1:5" ht="12" customHeight="1" x14ac:dyDescent="0.3"/>
    <row r="25" spans="1:5" ht="12" customHeight="1" x14ac:dyDescent="0.3">
      <c r="A25" s="1" t="s">
        <v>9</v>
      </c>
      <c r="B25" s="1" t="s">
        <v>18</v>
      </c>
      <c r="C25" s="1" t="s">
        <v>19</v>
      </c>
      <c r="D25" s="1" t="s">
        <v>20</v>
      </c>
      <c r="E25" s="1" t="s">
        <v>21</v>
      </c>
    </row>
    <row r="26" spans="1:5" ht="12" customHeight="1" x14ac:dyDescent="0.3">
      <c r="A26" s="2" t="str">
        <f>'근무표(입력)'!Y6</f>
        <v>송채민</v>
      </c>
      <c r="B26" s="2">
        <f>WEEKNUM('근무표(입력)'!$A$3, 2) + 0</f>
        <v>5</v>
      </c>
      <c r="C26" s="3">
        <f>SUMIFS('근무표(입력)'!$F$3:$F$33, '근무표(입력)'!$C$3:$C$33, $A26, '근무표(입력)'!$AN$3:$AN$33, $B26)+SUMIFS('근무표(입력)'!$J$3:$J$33, '근무표(입력)'!$G$3:$G$33, $A26, '근무표(입력)'!$AN$3:$AN$33, $B26)+SUMIFS('근무표(입력)'!$N$3:$N$33, '근무표(입력)'!$K$3:$K$33, $A26, '근무표(입력)'!$AN$3:$AN$33, $B26)+SUMIFS('근무표(입력)'!$R$3:$R$33, '근무표(입력)'!$O$3:$O$33, $A26, '근무표(입력)'!$AN$3:$AN$33, $B26)</f>
        <v>0</v>
      </c>
      <c r="D26" s="2" t="str">
        <f t="shared" ref="D26:D31" si="6">IF(C26&gt;=15, "O", "X")</f>
        <v>X</v>
      </c>
      <c r="E26" s="4">
        <f t="shared" ref="E26:E31" si="7">IF(D26="O", MIN(C26/5, 8)*10030, 0)</f>
        <v>0</v>
      </c>
    </row>
    <row r="27" spans="1:5" ht="12" customHeight="1" x14ac:dyDescent="0.3">
      <c r="A27" s="2" t="str">
        <f>A26</f>
        <v>송채민</v>
      </c>
      <c r="B27" s="2">
        <f>WEEKNUM('근무표(입력)'!$A$3, 2) + 1</f>
        <v>6</v>
      </c>
      <c r="C27" s="3">
        <f>SUMIFS('근무표(입력)'!$F$3:$F$33, '근무표(입력)'!$C$3:$C$33, $A27, '근무표(입력)'!$AN$3:$AN$33, $B27)+SUMIFS('근무표(입력)'!$J$3:$J$33, '근무표(입력)'!$G$3:$G$33, $A27, '근무표(입력)'!$AN$3:$AN$33, $B27)+SUMIFS('근무표(입력)'!$N$3:$N$33, '근무표(입력)'!$K$3:$K$33, $A27, '근무표(입력)'!$AN$3:$AN$33, $B27)+SUMIFS('근무표(입력)'!$R$3:$R$33, '근무표(입력)'!$O$3:$O$33, $A27, '근무표(입력)'!$AN$3:$AN$33, $B27)</f>
        <v>0</v>
      </c>
      <c r="D27" s="2" t="str">
        <f t="shared" si="6"/>
        <v>X</v>
      </c>
      <c r="E27" s="4">
        <f t="shared" si="7"/>
        <v>0</v>
      </c>
    </row>
    <row r="28" spans="1:5" ht="12" customHeight="1" x14ac:dyDescent="0.3">
      <c r="A28" s="2" t="str">
        <f>A27</f>
        <v>송채민</v>
      </c>
      <c r="B28" s="2">
        <f>WEEKNUM('근무표(입력)'!$A$3, 2) + 2</f>
        <v>7</v>
      </c>
      <c r="C28" s="3">
        <f>SUMIFS('근무표(입력)'!$F$3:$F$33, '근무표(입력)'!$C$3:$C$33, $A28, '근무표(입력)'!$AN$3:$AN$33, $B28)+SUMIFS('근무표(입력)'!$J$3:$J$33, '근무표(입력)'!$G$3:$G$33, $A28, '근무표(입력)'!$AN$3:$AN$33, $B28)+SUMIFS('근무표(입력)'!$N$3:$N$33, '근무표(입력)'!$K$3:$K$33, $A28, '근무표(입력)'!$AN$3:$AN$33, $B28)+SUMIFS('근무표(입력)'!$R$3:$R$33, '근무표(입력)'!$O$3:$O$33, $A28, '근무표(입력)'!$AN$3:$AN$33, $B28)</f>
        <v>0</v>
      </c>
      <c r="D28" s="2" t="str">
        <f t="shared" si="6"/>
        <v>X</v>
      </c>
      <c r="E28" s="4">
        <f t="shared" si="7"/>
        <v>0</v>
      </c>
    </row>
    <row r="29" spans="1:5" ht="12" customHeight="1" x14ac:dyDescent="0.3">
      <c r="A29" s="2" t="str">
        <f>A28</f>
        <v>송채민</v>
      </c>
      <c r="B29" s="2">
        <f>WEEKNUM('근무표(입력)'!$A$3, 2) + 3</f>
        <v>8</v>
      </c>
      <c r="C29" s="3">
        <f>SUMIFS('근무표(입력)'!$F$3:$F$33, '근무표(입력)'!$C$3:$C$33, $A29, '근무표(입력)'!$AN$3:$AN$33, $B29)+SUMIFS('근무표(입력)'!$J$3:$J$33, '근무표(입력)'!$G$3:$G$33, $A29, '근무표(입력)'!$AN$3:$AN$33, $B29)+SUMIFS('근무표(입력)'!$N$3:$N$33, '근무표(입력)'!$K$3:$K$33, $A29, '근무표(입력)'!$AN$3:$AN$33, $B29)+SUMIFS('근무표(입력)'!$R$3:$R$33, '근무표(입력)'!$O$3:$O$33, $A29, '근무표(입력)'!$AN$3:$AN$33, $B29)</f>
        <v>0</v>
      </c>
      <c r="D29" s="2" t="str">
        <f t="shared" si="6"/>
        <v>X</v>
      </c>
      <c r="E29" s="4">
        <f t="shared" si="7"/>
        <v>0</v>
      </c>
    </row>
    <row r="30" spans="1:5" ht="12" customHeight="1" x14ac:dyDescent="0.3">
      <c r="A30" s="2" t="str">
        <f>A29</f>
        <v>송채민</v>
      </c>
      <c r="B30" s="2">
        <f>WEEKNUM('근무표(입력)'!$A$3, 2) + 4</f>
        <v>9</v>
      </c>
      <c r="C30" s="3">
        <f>SUMIFS('근무표(입력)'!$F$3:$F$33, '근무표(입력)'!$C$3:$C$33, $A30, '근무표(입력)'!$AN$3:$AN$33, $B30)+SUMIFS('근무표(입력)'!$J$3:$J$33, '근무표(입력)'!$G$3:$G$33, $A30, '근무표(입력)'!$AN$3:$AN$33, $B30)+SUMIFS('근무표(입력)'!$N$3:$N$33, '근무표(입력)'!$K$3:$K$33, $A30, '근무표(입력)'!$AN$3:$AN$33, $B30)+SUMIFS('근무표(입력)'!$R$3:$R$33, '근무표(입력)'!$O$3:$O$33, $A30, '근무표(입력)'!$AN$3:$AN$33, $B30)</f>
        <v>0</v>
      </c>
      <c r="D30" s="2" t="str">
        <f t="shared" si="6"/>
        <v>X</v>
      </c>
      <c r="E30" s="4">
        <f t="shared" si="7"/>
        <v>0</v>
      </c>
    </row>
    <row r="31" spans="1:5" ht="12" customHeight="1" x14ac:dyDescent="0.3">
      <c r="A31" s="2" t="str">
        <f>A30</f>
        <v>송채민</v>
      </c>
      <c r="B31" s="2">
        <f>WEEKNUM('근무표(입력)'!$A$3, 2) + 5</f>
        <v>10</v>
      </c>
      <c r="C31" s="3">
        <f>SUMIFS('근무표(입력)'!$F$3:$F$33, '근무표(입력)'!$C$3:$C$33, $A31, '근무표(입력)'!$AN$3:$AN$33, $B31)+SUMIFS('근무표(입력)'!$J$3:$J$33, '근무표(입력)'!$G$3:$G$33, $A31, '근무표(입력)'!$AN$3:$AN$33, $B31)+SUMIFS('근무표(입력)'!$N$3:$N$33, '근무표(입력)'!$K$3:$K$33, $A31, '근무표(입력)'!$AN$3:$AN$33, $B31)+SUMIFS('근무표(입력)'!$R$3:$R$33, '근무표(입력)'!$O$3:$O$33, $A31, '근무표(입력)'!$AN$3:$AN$33, $B31)</f>
        <v>0</v>
      </c>
      <c r="D31" s="2" t="str">
        <f t="shared" si="6"/>
        <v>X</v>
      </c>
      <c r="E31" s="4">
        <f t="shared" si="7"/>
        <v>0</v>
      </c>
    </row>
    <row r="32" spans="1:5" ht="12" customHeight="1" x14ac:dyDescent="0.3"/>
    <row r="33" spans="1:5" ht="12" customHeight="1" x14ac:dyDescent="0.3"/>
    <row r="34" spans="1:5" ht="12" customHeight="1" x14ac:dyDescent="0.3">
      <c r="A34" s="1" t="s">
        <v>9</v>
      </c>
      <c r="B34" s="1" t="s">
        <v>18</v>
      </c>
      <c r="C34" s="1" t="s">
        <v>19</v>
      </c>
      <c r="D34" s="1" t="s">
        <v>20</v>
      </c>
      <c r="E34" s="1" t="s">
        <v>21</v>
      </c>
    </row>
    <row r="35" spans="1:5" ht="12" customHeight="1" x14ac:dyDescent="0.3">
      <c r="A35" s="2" t="str">
        <f>'근무표(입력)'!Y7</f>
        <v>이예은</v>
      </c>
      <c r="B35" s="2">
        <f>WEEKNUM('근무표(입력)'!$A$3, 2) + 0</f>
        <v>5</v>
      </c>
      <c r="C35" s="3">
        <f>SUMIFS('근무표(입력)'!$F$3:$F$33, '근무표(입력)'!$C$3:$C$33, $A35, '근무표(입력)'!$AN$3:$AN$33, $B35)+SUMIFS('근무표(입력)'!$J$3:$J$33, '근무표(입력)'!$G$3:$G$33, $A35, '근무표(입력)'!$AN$3:$AN$33, $B35)+SUMIFS('근무표(입력)'!$N$3:$N$33, '근무표(입력)'!$K$3:$K$33, $A35, '근무표(입력)'!$AN$3:$AN$33, $B35)+SUMIFS('근무표(입력)'!$R$3:$R$33, '근무표(입력)'!$O$3:$O$33, $A35, '근무표(입력)'!$AN$3:$AN$33, $B35)</f>
        <v>0</v>
      </c>
      <c r="D35" s="2" t="str">
        <f t="shared" ref="D35:D40" si="8">IF(C35&gt;=15, "O", "X")</f>
        <v>X</v>
      </c>
      <c r="E35" s="4">
        <f t="shared" ref="E35:E40" si="9">IF(D35="O", MIN(C35/5, 8)*10030, 0)</f>
        <v>0</v>
      </c>
    </row>
    <row r="36" spans="1:5" ht="12" customHeight="1" x14ac:dyDescent="0.3">
      <c r="A36" s="2" t="str">
        <f>A35</f>
        <v>이예은</v>
      </c>
      <c r="B36" s="2">
        <f>WEEKNUM('근무표(입력)'!$A$3, 2) + 1</f>
        <v>6</v>
      </c>
      <c r="C36" s="3">
        <f>SUMIFS('근무표(입력)'!$F$3:$F$33, '근무표(입력)'!$C$3:$C$33, $A36, '근무표(입력)'!$AN$3:$AN$33, $B36)+SUMIFS('근무표(입력)'!$J$3:$J$33, '근무표(입력)'!$G$3:$G$33, $A36, '근무표(입력)'!$AN$3:$AN$33, $B36)+SUMIFS('근무표(입력)'!$N$3:$N$33, '근무표(입력)'!$K$3:$K$33, $A36, '근무표(입력)'!$AN$3:$AN$33, $B36)+SUMIFS('근무표(입력)'!$R$3:$R$33, '근무표(입력)'!$O$3:$O$33, $A36, '근무표(입력)'!$AN$3:$AN$33, $B36)</f>
        <v>0</v>
      </c>
      <c r="D36" s="2" t="str">
        <f t="shared" si="8"/>
        <v>X</v>
      </c>
      <c r="E36" s="4">
        <f t="shared" si="9"/>
        <v>0</v>
      </c>
    </row>
    <row r="37" spans="1:5" ht="12" customHeight="1" x14ac:dyDescent="0.3">
      <c r="A37" s="2" t="str">
        <f>A36</f>
        <v>이예은</v>
      </c>
      <c r="B37" s="2">
        <f>WEEKNUM('근무표(입력)'!$A$3, 2) + 2</f>
        <v>7</v>
      </c>
      <c r="C37" s="3">
        <f>SUMIFS('근무표(입력)'!$F$3:$F$33, '근무표(입력)'!$C$3:$C$33, $A37, '근무표(입력)'!$AN$3:$AN$33, $B37)+SUMIFS('근무표(입력)'!$J$3:$J$33, '근무표(입력)'!$G$3:$G$33, $A37, '근무표(입력)'!$AN$3:$AN$33, $B37)+SUMIFS('근무표(입력)'!$N$3:$N$33, '근무표(입력)'!$K$3:$K$33, $A37, '근무표(입력)'!$AN$3:$AN$33, $B37)+SUMIFS('근무표(입력)'!$R$3:$R$33, '근무표(입력)'!$O$3:$O$33, $A37, '근무표(입력)'!$AN$3:$AN$33, $B37)</f>
        <v>0</v>
      </c>
      <c r="D37" s="2" t="str">
        <f t="shared" si="8"/>
        <v>X</v>
      </c>
      <c r="E37" s="4">
        <f t="shared" si="9"/>
        <v>0</v>
      </c>
    </row>
    <row r="38" spans="1:5" ht="12" customHeight="1" x14ac:dyDescent="0.3">
      <c r="A38" s="2" t="str">
        <f>A37</f>
        <v>이예은</v>
      </c>
      <c r="B38" s="2">
        <f>WEEKNUM('근무표(입력)'!$A$3, 2) + 3</f>
        <v>8</v>
      </c>
      <c r="C38" s="3">
        <f>SUMIFS('근무표(입력)'!$F$3:$F$33, '근무표(입력)'!$C$3:$C$33, $A38, '근무표(입력)'!$AN$3:$AN$33, $B38)+SUMIFS('근무표(입력)'!$J$3:$J$33, '근무표(입력)'!$G$3:$G$33, $A38, '근무표(입력)'!$AN$3:$AN$33, $B38)+SUMIFS('근무표(입력)'!$N$3:$N$33, '근무표(입력)'!$K$3:$K$33, $A38, '근무표(입력)'!$AN$3:$AN$33, $B38)+SUMIFS('근무표(입력)'!$R$3:$R$33, '근무표(입력)'!$O$3:$O$33, $A38, '근무표(입력)'!$AN$3:$AN$33, $B38)</f>
        <v>0</v>
      </c>
      <c r="D38" s="2" t="str">
        <f t="shared" si="8"/>
        <v>X</v>
      </c>
      <c r="E38" s="4">
        <f t="shared" si="9"/>
        <v>0</v>
      </c>
    </row>
    <row r="39" spans="1:5" ht="12" customHeight="1" x14ac:dyDescent="0.3">
      <c r="A39" s="2" t="str">
        <f>A38</f>
        <v>이예은</v>
      </c>
      <c r="B39" s="2">
        <f>WEEKNUM('근무표(입력)'!$A$3, 2) + 4</f>
        <v>9</v>
      </c>
      <c r="C39" s="3">
        <f>SUMIFS('근무표(입력)'!$F$3:$F$33, '근무표(입력)'!$C$3:$C$33, $A39, '근무표(입력)'!$AN$3:$AN$33, $B39)+SUMIFS('근무표(입력)'!$J$3:$J$33, '근무표(입력)'!$G$3:$G$33, $A39, '근무표(입력)'!$AN$3:$AN$33, $B39)+SUMIFS('근무표(입력)'!$N$3:$N$33, '근무표(입력)'!$K$3:$K$33, $A39, '근무표(입력)'!$AN$3:$AN$33, $B39)+SUMIFS('근무표(입력)'!$R$3:$R$33, '근무표(입력)'!$O$3:$O$33, $A39, '근무표(입력)'!$AN$3:$AN$33, $B39)</f>
        <v>0</v>
      </c>
      <c r="D39" s="2" t="str">
        <f t="shared" si="8"/>
        <v>X</v>
      </c>
      <c r="E39" s="4">
        <f t="shared" si="9"/>
        <v>0</v>
      </c>
    </row>
    <row r="40" spans="1:5" ht="12" customHeight="1" x14ac:dyDescent="0.3">
      <c r="A40" s="2" t="str">
        <f>A39</f>
        <v>이예은</v>
      </c>
      <c r="B40" s="2">
        <f>WEEKNUM('근무표(입력)'!$A$3, 2) + 5</f>
        <v>10</v>
      </c>
      <c r="C40" s="3">
        <f>SUMIFS('근무표(입력)'!$F$3:$F$33, '근무표(입력)'!$C$3:$C$33, $A40, '근무표(입력)'!$AN$3:$AN$33, $B40)+SUMIFS('근무표(입력)'!$J$3:$J$33, '근무표(입력)'!$G$3:$G$33, $A40, '근무표(입력)'!$AN$3:$AN$33, $B40)+SUMIFS('근무표(입력)'!$N$3:$N$33, '근무표(입력)'!$K$3:$K$33, $A40, '근무표(입력)'!$AN$3:$AN$33, $B40)+SUMIFS('근무표(입력)'!$R$3:$R$33, '근무표(입력)'!$O$3:$O$33, $A40, '근무표(입력)'!$AN$3:$AN$33, $B40)</f>
        <v>0</v>
      </c>
      <c r="D40" s="2" t="str">
        <f t="shared" si="8"/>
        <v>X</v>
      </c>
      <c r="E40" s="4">
        <f t="shared" si="9"/>
        <v>0</v>
      </c>
    </row>
    <row r="41" spans="1:5" ht="12" customHeight="1" x14ac:dyDescent="0.3"/>
    <row r="42" spans="1:5" ht="12" customHeight="1" x14ac:dyDescent="0.3">
      <c r="A42" s="1" t="s">
        <v>9</v>
      </c>
      <c r="B42" s="1" t="s">
        <v>18</v>
      </c>
      <c r="C42" s="1" t="s">
        <v>19</v>
      </c>
      <c r="D42" s="1" t="s">
        <v>20</v>
      </c>
      <c r="E42" s="1" t="s">
        <v>21</v>
      </c>
    </row>
    <row r="43" spans="1:5" ht="12" customHeight="1" x14ac:dyDescent="0.3">
      <c r="A43" s="2" t="str">
        <f>'근무표(입력)'!Y8</f>
        <v>정가은</v>
      </c>
      <c r="B43" s="2">
        <f>WEEKNUM('근무표(입력)'!$A$3, 2) + 0</f>
        <v>5</v>
      </c>
      <c r="C43" s="3">
        <f>SUMIFS('근무표(입력)'!$F$3:$F$33, '근무표(입력)'!$C$3:$C$33, $A43, '근무표(입력)'!$AN$3:$AN$33, $B43)+SUMIFS('근무표(입력)'!$J$3:$J$33, '근무표(입력)'!$G$3:$G$33, $A43, '근무표(입력)'!$AN$3:$AN$33, $B43)+SUMIFS('근무표(입력)'!$N$3:$N$33, '근무표(입력)'!$K$3:$K$33, $A43, '근무표(입력)'!$AN$3:$AN$33, $B43)+SUMIFS('근무표(입력)'!$R$3:$R$33, '근무표(입력)'!$O$3:$O$33, $A43, '근무표(입력)'!$AN$3:$AN$33, $B43)</f>
        <v>0</v>
      </c>
      <c r="D43" s="2" t="str">
        <f t="shared" ref="D43:D48" si="10">IF(C43&gt;=15, "O", "X")</f>
        <v>X</v>
      </c>
      <c r="E43" s="4">
        <f t="shared" ref="E43:E48" si="11">IF(D43="O", MIN(C43/5, 8)*10030, 0)</f>
        <v>0</v>
      </c>
    </row>
    <row r="44" spans="1:5" ht="12" customHeight="1" x14ac:dyDescent="0.3">
      <c r="A44" s="2" t="str">
        <f>A43</f>
        <v>정가은</v>
      </c>
      <c r="B44" s="2">
        <f>WEEKNUM('근무표(입력)'!$A$3, 2) + 1</f>
        <v>6</v>
      </c>
      <c r="C44" s="3">
        <f>SUMIFS('근무표(입력)'!$F$3:$F$33, '근무표(입력)'!$C$3:$C$33, $A44, '근무표(입력)'!$AN$3:$AN$33, $B44)+SUMIFS('근무표(입력)'!$J$3:$J$33, '근무표(입력)'!$G$3:$G$33, $A44, '근무표(입력)'!$AN$3:$AN$33, $B44)+SUMIFS('근무표(입력)'!$N$3:$N$33, '근무표(입력)'!$K$3:$K$33, $A44, '근무표(입력)'!$AN$3:$AN$33, $B44)+SUMIFS('근무표(입력)'!$R$3:$R$33, '근무표(입력)'!$O$3:$O$33, $A44, '근무표(입력)'!$AN$3:$AN$33, $B44)</f>
        <v>0</v>
      </c>
      <c r="D44" s="2" t="str">
        <f t="shared" si="10"/>
        <v>X</v>
      </c>
      <c r="E44" s="4">
        <f t="shared" si="11"/>
        <v>0</v>
      </c>
    </row>
    <row r="45" spans="1:5" ht="12" customHeight="1" x14ac:dyDescent="0.3">
      <c r="A45" s="2" t="str">
        <f>A44</f>
        <v>정가은</v>
      </c>
      <c r="B45" s="2">
        <f>WEEKNUM('근무표(입력)'!$A$3, 2) + 2</f>
        <v>7</v>
      </c>
      <c r="C45" s="3">
        <f>SUMIFS('근무표(입력)'!$F$3:$F$33, '근무표(입력)'!$C$3:$C$33, $A45, '근무표(입력)'!$AN$3:$AN$33, $B45)+SUMIFS('근무표(입력)'!$J$3:$J$33, '근무표(입력)'!$G$3:$G$33, $A45, '근무표(입력)'!$AN$3:$AN$33, $B45)+SUMIFS('근무표(입력)'!$N$3:$N$33, '근무표(입력)'!$K$3:$K$33, $A45, '근무표(입력)'!$AN$3:$AN$33, $B45)+SUMIFS('근무표(입력)'!$R$3:$R$33, '근무표(입력)'!$O$3:$O$33, $A45, '근무표(입력)'!$AN$3:$AN$33, $B45)</f>
        <v>0</v>
      </c>
      <c r="D45" s="2" t="str">
        <f t="shared" si="10"/>
        <v>X</v>
      </c>
      <c r="E45" s="4">
        <f t="shared" si="11"/>
        <v>0</v>
      </c>
    </row>
    <row r="46" spans="1:5" ht="12" customHeight="1" x14ac:dyDescent="0.3">
      <c r="A46" s="2" t="str">
        <f>A45</f>
        <v>정가은</v>
      </c>
      <c r="B46" s="2">
        <f>WEEKNUM('근무표(입력)'!$A$3, 2) + 3</f>
        <v>8</v>
      </c>
      <c r="C46" s="3">
        <f>SUMIFS('근무표(입력)'!$F$3:$F$33, '근무표(입력)'!$C$3:$C$33, $A46, '근무표(입력)'!$AN$3:$AN$33, $B46)+SUMIFS('근무표(입력)'!$J$3:$J$33, '근무표(입력)'!$G$3:$G$33, $A46, '근무표(입력)'!$AN$3:$AN$33, $B46)+SUMIFS('근무표(입력)'!$N$3:$N$33, '근무표(입력)'!$K$3:$K$33, $A46, '근무표(입력)'!$AN$3:$AN$33, $B46)+SUMIFS('근무표(입력)'!$R$3:$R$33, '근무표(입력)'!$O$3:$O$33, $A46, '근무표(입력)'!$AN$3:$AN$33, $B46)</f>
        <v>0</v>
      </c>
      <c r="D46" s="2" t="str">
        <f t="shared" si="10"/>
        <v>X</v>
      </c>
      <c r="E46" s="4">
        <f t="shared" si="11"/>
        <v>0</v>
      </c>
    </row>
    <row r="47" spans="1:5" ht="12" customHeight="1" x14ac:dyDescent="0.3">
      <c r="A47" s="2" t="str">
        <f>A46</f>
        <v>정가은</v>
      </c>
      <c r="B47" s="2">
        <f>WEEKNUM('근무표(입력)'!$A$3, 2) + 4</f>
        <v>9</v>
      </c>
      <c r="C47" s="3">
        <f>SUMIFS('근무표(입력)'!$F$3:$F$33, '근무표(입력)'!$C$3:$C$33, $A47, '근무표(입력)'!$AN$3:$AN$33, $B47)+SUMIFS('근무표(입력)'!$J$3:$J$33, '근무표(입력)'!$G$3:$G$33, $A47, '근무표(입력)'!$AN$3:$AN$33, $B47)+SUMIFS('근무표(입력)'!$N$3:$N$33, '근무표(입력)'!$K$3:$K$33, $A47, '근무표(입력)'!$AN$3:$AN$33, $B47)+SUMIFS('근무표(입력)'!$R$3:$R$33, '근무표(입력)'!$O$3:$O$33, $A47, '근무표(입력)'!$AN$3:$AN$33, $B47)</f>
        <v>0</v>
      </c>
      <c r="D47" s="2" t="str">
        <f t="shared" si="10"/>
        <v>X</v>
      </c>
      <c r="E47" s="4">
        <f t="shared" si="11"/>
        <v>0</v>
      </c>
    </row>
    <row r="48" spans="1:5" ht="12" customHeight="1" x14ac:dyDescent="0.3">
      <c r="A48" s="2" t="str">
        <f>A47</f>
        <v>정가은</v>
      </c>
      <c r="B48" s="2">
        <f>WEEKNUM('근무표(입력)'!$A$3, 2) + 5</f>
        <v>10</v>
      </c>
      <c r="C48" s="3">
        <f>SUMIFS('근무표(입력)'!$F$3:$F$33, '근무표(입력)'!$C$3:$C$33, $A48, '근무표(입력)'!$AN$3:$AN$33, $B48)+SUMIFS('근무표(입력)'!$J$3:$J$33, '근무표(입력)'!$G$3:$G$33, $A48, '근무표(입력)'!$AN$3:$AN$33, $B48)+SUMIFS('근무표(입력)'!$N$3:$N$33, '근무표(입력)'!$K$3:$K$33, $A48, '근무표(입력)'!$AN$3:$AN$33, $B48)+SUMIFS('근무표(입력)'!$R$3:$R$33, '근무표(입력)'!$O$3:$O$33, $A48, '근무표(입력)'!$AN$3:$AN$33, $B48)</f>
        <v>0</v>
      </c>
      <c r="D48" s="2" t="str">
        <f t="shared" si="10"/>
        <v>X</v>
      </c>
      <c r="E48" s="4">
        <f t="shared" si="11"/>
        <v>0</v>
      </c>
    </row>
    <row r="49" spans="1:5" ht="12" customHeight="1" x14ac:dyDescent="0.3"/>
    <row r="50" spans="1:5" ht="12" customHeight="1" x14ac:dyDescent="0.3">
      <c r="A50" s="1" t="s">
        <v>9</v>
      </c>
      <c r="B50" s="1" t="s">
        <v>18</v>
      </c>
      <c r="C50" s="1" t="s">
        <v>19</v>
      </c>
      <c r="D50" s="1" t="s">
        <v>20</v>
      </c>
      <c r="E50" s="1" t="s">
        <v>21</v>
      </c>
    </row>
    <row r="51" spans="1:5" ht="12" customHeight="1" x14ac:dyDescent="0.3">
      <c r="A51" s="2" t="str">
        <f>'근무표(입력)'!Y9</f>
        <v>황승연</v>
      </c>
      <c r="B51" s="2">
        <f>WEEKNUM('근무표(입력)'!$A$3, 2) + 0</f>
        <v>5</v>
      </c>
      <c r="C51" s="3">
        <f>SUMIFS('근무표(입력)'!$F$3:$F$33, '근무표(입력)'!$C$3:$C$33, $A51, '근무표(입력)'!$AN$3:$AN$33, $B51)+SUMIFS('근무표(입력)'!$J$3:$J$33, '근무표(입력)'!$G$3:$G$33, $A51, '근무표(입력)'!$AN$3:$AN$33, $B51)+SUMIFS('근무표(입력)'!$N$3:$N$33, '근무표(입력)'!$K$3:$K$33, $A51, '근무표(입력)'!$AN$3:$AN$33, $B51)+SUMIFS('근무표(입력)'!$R$3:$R$33, '근무표(입력)'!$O$3:$O$33, $A51, '근무표(입력)'!$AN$3:$AN$33, $B51)</f>
        <v>0</v>
      </c>
      <c r="D51" s="2" t="str">
        <f t="shared" ref="D51:D56" si="12">IF(C51&gt;=15, "O", "X")</f>
        <v>X</v>
      </c>
      <c r="E51" s="4">
        <f t="shared" ref="E51:E56" si="13">IF(D51="O", MIN(C51/5, 8)*10030, 0)</f>
        <v>0</v>
      </c>
    </row>
    <row r="52" spans="1:5" ht="12" customHeight="1" x14ac:dyDescent="0.3">
      <c r="A52" s="2" t="str">
        <f>A51</f>
        <v>황승연</v>
      </c>
      <c r="B52" s="2">
        <f>WEEKNUM('근무표(입력)'!$A$3, 2) + 1</f>
        <v>6</v>
      </c>
      <c r="C52" s="3">
        <f>SUMIFS('근무표(입력)'!$F$3:$F$33, '근무표(입력)'!$C$3:$C$33, $A52, '근무표(입력)'!$AN$3:$AN$33, $B52)+SUMIFS('근무표(입력)'!$J$3:$J$33, '근무표(입력)'!$G$3:$G$33, $A52, '근무표(입력)'!$AN$3:$AN$33, $B52)+SUMIFS('근무표(입력)'!$N$3:$N$33, '근무표(입력)'!$K$3:$K$33, $A52, '근무표(입력)'!$AN$3:$AN$33, $B52)+SUMIFS('근무표(입력)'!$R$3:$R$33, '근무표(입력)'!$O$3:$O$33, $A52, '근무표(입력)'!$AN$3:$AN$33, $B52)</f>
        <v>0</v>
      </c>
      <c r="D52" s="2" t="str">
        <f t="shared" si="12"/>
        <v>X</v>
      </c>
      <c r="E52" s="4">
        <f t="shared" si="13"/>
        <v>0</v>
      </c>
    </row>
    <row r="53" spans="1:5" ht="12" customHeight="1" x14ac:dyDescent="0.3">
      <c r="A53" s="2" t="str">
        <f>A52</f>
        <v>황승연</v>
      </c>
      <c r="B53" s="2">
        <f>WEEKNUM('근무표(입력)'!$A$3, 2) + 2</f>
        <v>7</v>
      </c>
      <c r="C53" s="3">
        <f>SUMIFS('근무표(입력)'!$F$3:$F$33, '근무표(입력)'!$C$3:$C$33, $A53, '근무표(입력)'!$AN$3:$AN$33, $B53)+SUMIFS('근무표(입력)'!$J$3:$J$33, '근무표(입력)'!$G$3:$G$33, $A53, '근무표(입력)'!$AN$3:$AN$33, $B53)+SUMIFS('근무표(입력)'!$N$3:$N$33, '근무표(입력)'!$K$3:$K$33, $A53, '근무표(입력)'!$AN$3:$AN$33, $B53)+SUMIFS('근무표(입력)'!$R$3:$R$33, '근무표(입력)'!$O$3:$O$33, $A53, '근무표(입력)'!$AN$3:$AN$33, $B53)</f>
        <v>0</v>
      </c>
      <c r="D53" s="2" t="str">
        <f t="shared" si="12"/>
        <v>X</v>
      </c>
      <c r="E53" s="4">
        <f t="shared" si="13"/>
        <v>0</v>
      </c>
    </row>
    <row r="54" spans="1:5" ht="12" customHeight="1" x14ac:dyDescent="0.3">
      <c r="A54" s="2" t="str">
        <f>A53</f>
        <v>황승연</v>
      </c>
      <c r="B54" s="2">
        <f>WEEKNUM('근무표(입력)'!$A$3, 2) + 3</f>
        <v>8</v>
      </c>
      <c r="C54" s="3">
        <f>SUMIFS('근무표(입력)'!$F$3:$F$33, '근무표(입력)'!$C$3:$C$33, $A54, '근무표(입력)'!$AN$3:$AN$33, $B54)+SUMIFS('근무표(입력)'!$J$3:$J$33, '근무표(입력)'!$G$3:$G$33, $A54, '근무표(입력)'!$AN$3:$AN$33, $B54)+SUMIFS('근무표(입력)'!$N$3:$N$33, '근무표(입력)'!$K$3:$K$33, $A54, '근무표(입력)'!$AN$3:$AN$33, $B54)+SUMIFS('근무표(입력)'!$R$3:$R$33, '근무표(입력)'!$O$3:$O$33, $A54, '근무표(입력)'!$AN$3:$AN$33, $B54)</f>
        <v>0</v>
      </c>
      <c r="D54" s="2" t="str">
        <f t="shared" si="12"/>
        <v>X</v>
      </c>
      <c r="E54" s="4">
        <f t="shared" si="13"/>
        <v>0</v>
      </c>
    </row>
    <row r="55" spans="1:5" ht="12" customHeight="1" x14ac:dyDescent="0.3">
      <c r="A55" s="2" t="str">
        <f>A54</f>
        <v>황승연</v>
      </c>
      <c r="B55" s="2">
        <f>WEEKNUM('근무표(입력)'!$A$3, 2) + 4</f>
        <v>9</v>
      </c>
      <c r="C55" s="3">
        <f>SUMIFS('근무표(입력)'!$F$3:$F$33, '근무표(입력)'!$C$3:$C$33, $A55, '근무표(입력)'!$AN$3:$AN$33, $B55)+SUMIFS('근무표(입력)'!$J$3:$J$33, '근무표(입력)'!$G$3:$G$33, $A55, '근무표(입력)'!$AN$3:$AN$33, $B55)+SUMIFS('근무표(입력)'!$N$3:$N$33, '근무표(입력)'!$K$3:$K$33, $A55, '근무표(입력)'!$AN$3:$AN$33, $B55)+SUMIFS('근무표(입력)'!$R$3:$R$33, '근무표(입력)'!$O$3:$O$33, $A55, '근무표(입력)'!$AN$3:$AN$33, $B55)</f>
        <v>0</v>
      </c>
      <c r="D55" s="2" t="str">
        <f t="shared" si="12"/>
        <v>X</v>
      </c>
      <c r="E55" s="4">
        <f t="shared" si="13"/>
        <v>0</v>
      </c>
    </row>
    <row r="56" spans="1:5" ht="12" customHeight="1" x14ac:dyDescent="0.3">
      <c r="A56" s="2" t="str">
        <f>A55</f>
        <v>황승연</v>
      </c>
      <c r="B56" s="2">
        <f>WEEKNUM('근무표(입력)'!$A$3, 2) + 5</f>
        <v>10</v>
      </c>
      <c r="C56" s="3">
        <f>SUMIFS('근무표(입력)'!$F$3:$F$33, '근무표(입력)'!$C$3:$C$33, $A56, '근무표(입력)'!$AN$3:$AN$33, $B56)+SUMIFS('근무표(입력)'!$J$3:$J$33, '근무표(입력)'!$G$3:$G$33, $A56, '근무표(입력)'!$AN$3:$AN$33, $B56)+SUMIFS('근무표(입력)'!$N$3:$N$33, '근무표(입력)'!$K$3:$K$33, $A56, '근무표(입력)'!$AN$3:$AN$33, $B56)+SUMIFS('근무표(입력)'!$R$3:$R$33, '근무표(입력)'!$O$3:$O$33, $A56, '근무표(입력)'!$AN$3:$AN$33, $B56)</f>
        <v>0</v>
      </c>
      <c r="D56" s="2" t="str">
        <f t="shared" si="12"/>
        <v>X</v>
      </c>
      <c r="E56" s="4">
        <f t="shared" si="13"/>
        <v>0</v>
      </c>
    </row>
    <row r="57" spans="1:5" ht="12" customHeight="1" x14ac:dyDescent="0.3"/>
    <row r="58" spans="1:5" ht="12" customHeight="1" x14ac:dyDescent="0.3">
      <c r="A58" s="1" t="s">
        <v>9</v>
      </c>
      <c r="B58" s="1" t="s">
        <v>18</v>
      </c>
      <c r="C58" s="1" t="s">
        <v>19</v>
      </c>
      <c r="D58" s="1" t="s">
        <v>20</v>
      </c>
      <c r="E58" s="1" t="s">
        <v>21</v>
      </c>
    </row>
    <row r="59" spans="1:5" ht="12" customHeight="1" x14ac:dyDescent="0.3">
      <c r="A59" s="2">
        <f>'근무표(입력)'!Y10</f>
        <v>0</v>
      </c>
      <c r="B59" s="2">
        <f>WEEKNUM('근무표(입력)'!$A$3, 2) + 0</f>
        <v>5</v>
      </c>
      <c r="C59" s="3">
        <f>SUMIFS('근무표(입력)'!$F$3:$F$33, '근무표(입력)'!$C$3:$C$33, $A59, '근무표(입력)'!$AN$3:$AN$33, $B59)+SUMIFS('근무표(입력)'!$J$3:$J$33, '근무표(입력)'!$G$3:$G$33, $A59, '근무표(입력)'!$AN$3:$AN$33, $B59)+SUMIFS('근무표(입력)'!$N$3:$N$33, '근무표(입력)'!$K$3:$K$33, $A59, '근무표(입력)'!$AN$3:$AN$33, $B59)+SUMIFS('근무표(입력)'!$R$3:$R$33, '근무표(입력)'!$O$3:$O$33, $A59, '근무표(입력)'!$AN$3:$AN$33, $B59)</f>
        <v>0</v>
      </c>
      <c r="D59" s="2" t="str">
        <f t="shared" ref="D59:D64" si="14">IF(C59&gt;=15, "O", "X")</f>
        <v>X</v>
      </c>
      <c r="E59" s="4">
        <f t="shared" ref="E59:E64" si="15">IF(D59="O", MIN(C59/5, 8)*10030, 0)</f>
        <v>0</v>
      </c>
    </row>
    <row r="60" spans="1:5" ht="12" customHeight="1" x14ac:dyDescent="0.3">
      <c r="A60" s="2">
        <f>A59</f>
        <v>0</v>
      </c>
      <c r="B60" s="2">
        <f>WEEKNUM('근무표(입력)'!$A$3, 2) + 1</f>
        <v>6</v>
      </c>
      <c r="C60" s="3">
        <f>SUMIFS('근무표(입력)'!$F$3:$F$33, '근무표(입력)'!$C$3:$C$33, $A60, '근무표(입력)'!$AN$3:$AN$33, $B60)+SUMIFS('근무표(입력)'!$J$3:$J$33, '근무표(입력)'!$G$3:$G$33, $A60, '근무표(입력)'!$AN$3:$AN$33, $B60)+SUMIFS('근무표(입력)'!$N$3:$N$33, '근무표(입력)'!$K$3:$K$33, $A60, '근무표(입력)'!$AN$3:$AN$33, $B60)+SUMIFS('근무표(입력)'!$R$3:$R$33, '근무표(입력)'!$O$3:$O$33, $A60, '근무표(입력)'!$AN$3:$AN$33, $B60)</f>
        <v>0</v>
      </c>
      <c r="D60" s="2" t="str">
        <f t="shared" si="14"/>
        <v>X</v>
      </c>
      <c r="E60" s="4">
        <f t="shared" si="15"/>
        <v>0</v>
      </c>
    </row>
    <row r="61" spans="1:5" ht="12" customHeight="1" x14ac:dyDescent="0.3">
      <c r="A61" s="2">
        <f>A60</f>
        <v>0</v>
      </c>
      <c r="B61" s="2">
        <f>WEEKNUM('근무표(입력)'!$A$3, 2) + 2</f>
        <v>7</v>
      </c>
      <c r="C61" s="3">
        <f>SUMIFS('근무표(입력)'!$F$3:$F$33, '근무표(입력)'!$C$3:$C$33, $A61, '근무표(입력)'!$AN$3:$AN$33, $B61)+SUMIFS('근무표(입력)'!$J$3:$J$33, '근무표(입력)'!$G$3:$G$33, $A61, '근무표(입력)'!$AN$3:$AN$33, $B61)+SUMIFS('근무표(입력)'!$N$3:$N$33, '근무표(입력)'!$K$3:$K$33, $A61, '근무표(입력)'!$AN$3:$AN$33, $B61)+SUMIFS('근무표(입력)'!$R$3:$R$33, '근무표(입력)'!$O$3:$O$33, $A61, '근무표(입력)'!$AN$3:$AN$33, $B61)</f>
        <v>0</v>
      </c>
      <c r="D61" s="2" t="str">
        <f t="shared" si="14"/>
        <v>X</v>
      </c>
      <c r="E61" s="4">
        <f t="shared" si="15"/>
        <v>0</v>
      </c>
    </row>
    <row r="62" spans="1:5" ht="12" customHeight="1" x14ac:dyDescent="0.3">
      <c r="A62" s="2">
        <f>A61</f>
        <v>0</v>
      </c>
      <c r="B62" s="2">
        <f>WEEKNUM('근무표(입력)'!$A$3, 2) + 3</f>
        <v>8</v>
      </c>
      <c r="C62" s="3">
        <f>SUMIFS('근무표(입력)'!$F$3:$F$33, '근무표(입력)'!$C$3:$C$33, $A62, '근무표(입력)'!$AN$3:$AN$33, $B62)+SUMIFS('근무표(입력)'!$J$3:$J$33, '근무표(입력)'!$G$3:$G$33, $A62, '근무표(입력)'!$AN$3:$AN$33, $B62)+SUMIFS('근무표(입력)'!$N$3:$N$33, '근무표(입력)'!$K$3:$K$33, $A62, '근무표(입력)'!$AN$3:$AN$33, $B62)+SUMIFS('근무표(입력)'!$R$3:$R$33, '근무표(입력)'!$O$3:$O$33, $A62, '근무표(입력)'!$AN$3:$AN$33, $B62)</f>
        <v>0</v>
      </c>
      <c r="D62" s="2" t="str">
        <f t="shared" si="14"/>
        <v>X</v>
      </c>
      <c r="E62" s="4">
        <f t="shared" si="15"/>
        <v>0</v>
      </c>
    </row>
    <row r="63" spans="1:5" ht="12" customHeight="1" x14ac:dyDescent="0.3">
      <c r="A63" s="2">
        <f>A62</f>
        <v>0</v>
      </c>
      <c r="B63" s="2">
        <f>WEEKNUM('근무표(입력)'!$A$3, 2) + 4</f>
        <v>9</v>
      </c>
      <c r="C63" s="3">
        <f>SUMIFS('근무표(입력)'!$F$3:$F$33, '근무표(입력)'!$C$3:$C$33, $A63, '근무표(입력)'!$AN$3:$AN$33, $B63)+SUMIFS('근무표(입력)'!$J$3:$J$33, '근무표(입력)'!$G$3:$G$33, $A63, '근무표(입력)'!$AN$3:$AN$33, $B63)+SUMIFS('근무표(입력)'!$N$3:$N$33, '근무표(입력)'!$K$3:$K$33, $A63, '근무표(입력)'!$AN$3:$AN$33, $B63)+SUMIFS('근무표(입력)'!$R$3:$R$33, '근무표(입력)'!$O$3:$O$33, $A63, '근무표(입력)'!$AN$3:$AN$33, $B63)</f>
        <v>0</v>
      </c>
      <c r="D63" s="2" t="str">
        <f t="shared" si="14"/>
        <v>X</v>
      </c>
      <c r="E63" s="4">
        <f t="shared" si="15"/>
        <v>0</v>
      </c>
    </row>
    <row r="64" spans="1:5" ht="12" customHeight="1" x14ac:dyDescent="0.3">
      <c r="A64" s="2">
        <f>A63</f>
        <v>0</v>
      </c>
      <c r="B64" s="2">
        <f>WEEKNUM('근무표(입력)'!$A$3, 2) + 5</f>
        <v>10</v>
      </c>
      <c r="C64" s="3">
        <f>SUMIFS('근무표(입력)'!$F$3:$F$33, '근무표(입력)'!$C$3:$C$33, $A64, '근무표(입력)'!$AN$3:$AN$33, $B64)+SUMIFS('근무표(입력)'!$J$3:$J$33, '근무표(입력)'!$G$3:$G$33, $A64, '근무표(입력)'!$AN$3:$AN$33, $B64)+SUMIFS('근무표(입력)'!$N$3:$N$33, '근무표(입력)'!$K$3:$K$33, $A64, '근무표(입력)'!$AN$3:$AN$33, $B64)+SUMIFS('근무표(입력)'!$R$3:$R$33, '근무표(입력)'!$O$3:$O$33, $A64, '근무표(입력)'!$AN$3:$AN$33, $B64)</f>
        <v>0</v>
      </c>
      <c r="D64" s="2" t="str">
        <f t="shared" si="14"/>
        <v>X</v>
      </c>
      <c r="E64" s="4">
        <f t="shared" si="15"/>
        <v>0</v>
      </c>
    </row>
    <row r="65" spans="1:5" ht="12" customHeight="1" x14ac:dyDescent="0.3"/>
    <row r="66" spans="1:5" ht="12" customHeight="1" x14ac:dyDescent="0.3">
      <c r="A66" s="1" t="s">
        <v>9</v>
      </c>
      <c r="B66" s="1" t="s">
        <v>18</v>
      </c>
      <c r="C66" s="1" t="s">
        <v>19</v>
      </c>
      <c r="D66" s="1" t="s">
        <v>20</v>
      </c>
      <c r="E66" s="1" t="s">
        <v>21</v>
      </c>
    </row>
    <row r="67" spans="1:5" ht="12" customHeight="1" x14ac:dyDescent="0.3">
      <c r="A67" s="2">
        <f>'근무표(입력)'!Y11</f>
        <v>0</v>
      </c>
      <c r="B67" s="2">
        <f>WEEKNUM('근무표(입력)'!$A$3, 2) + 0</f>
        <v>5</v>
      </c>
      <c r="C67" s="3">
        <f>SUMIFS('근무표(입력)'!$F$3:$F$33, '근무표(입력)'!$C$3:$C$33, $A67, '근무표(입력)'!$AN$3:$AN$33, $B67)+SUMIFS('근무표(입력)'!$J$3:$J$33, '근무표(입력)'!$G$3:$G$33, $A67, '근무표(입력)'!$AN$3:$AN$33, $B67)+SUMIFS('근무표(입력)'!$N$3:$N$33, '근무표(입력)'!$K$3:$K$33, $A67, '근무표(입력)'!$AN$3:$AN$33, $B67)+SUMIFS('근무표(입력)'!$R$3:$R$33, '근무표(입력)'!$O$3:$O$33, $A67, '근무표(입력)'!$AN$3:$AN$33, $B67)</f>
        <v>0</v>
      </c>
      <c r="D67" s="2" t="str">
        <f t="shared" ref="D67:D72" si="16">IF(C67&gt;=15, "O", "X")</f>
        <v>X</v>
      </c>
      <c r="E67" s="4">
        <f t="shared" ref="E67:E72" si="17">IF(D67="O", MIN(C67/5, 8)*10030, 0)</f>
        <v>0</v>
      </c>
    </row>
    <row r="68" spans="1:5" ht="12" customHeight="1" x14ac:dyDescent="0.3">
      <c r="A68" s="2">
        <f>A67</f>
        <v>0</v>
      </c>
      <c r="B68" s="2">
        <f>WEEKNUM('근무표(입력)'!$A$3, 2) + 1</f>
        <v>6</v>
      </c>
      <c r="C68" s="3">
        <f>SUMIFS('근무표(입력)'!$F$3:$F$33, '근무표(입력)'!$C$3:$C$33, $A68, '근무표(입력)'!$AN$3:$AN$33, $B68)+SUMIFS('근무표(입력)'!$J$3:$J$33, '근무표(입력)'!$G$3:$G$33, $A68, '근무표(입력)'!$AN$3:$AN$33, $B68)+SUMIFS('근무표(입력)'!$N$3:$N$33, '근무표(입력)'!$K$3:$K$33, $A68, '근무표(입력)'!$AN$3:$AN$33, $B68)+SUMIFS('근무표(입력)'!$R$3:$R$33, '근무표(입력)'!$O$3:$O$33, $A68, '근무표(입력)'!$AN$3:$AN$33, $B68)</f>
        <v>0</v>
      </c>
      <c r="D68" s="2" t="str">
        <f t="shared" si="16"/>
        <v>X</v>
      </c>
      <c r="E68" s="4">
        <f t="shared" si="17"/>
        <v>0</v>
      </c>
    </row>
    <row r="69" spans="1:5" ht="12" customHeight="1" x14ac:dyDescent="0.3">
      <c r="A69" s="2">
        <f>A68</f>
        <v>0</v>
      </c>
      <c r="B69" s="2">
        <f>WEEKNUM('근무표(입력)'!$A$3, 2) + 2</f>
        <v>7</v>
      </c>
      <c r="C69" s="3">
        <f>SUMIFS('근무표(입력)'!$F$3:$F$33, '근무표(입력)'!$C$3:$C$33, $A69, '근무표(입력)'!$AN$3:$AN$33, $B69)+SUMIFS('근무표(입력)'!$J$3:$J$33, '근무표(입력)'!$G$3:$G$33, $A69, '근무표(입력)'!$AN$3:$AN$33, $B69)+SUMIFS('근무표(입력)'!$N$3:$N$33, '근무표(입력)'!$K$3:$K$33, $A69, '근무표(입력)'!$AN$3:$AN$33, $B69)+SUMIFS('근무표(입력)'!$R$3:$R$33, '근무표(입력)'!$O$3:$O$33, $A69, '근무표(입력)'!$AN$3:$AN$33, $B69)</f>
        <v>0</v>
      </c>
      <c r="D69" s="2" t="str">
        <f t="shared" si="16"/>
        <v>X</v>
      </c>
      <c r="E69" s="4">
        <f t="shared" si="17"/>
        <v>0</v>
      </c>
    </row>
    <row r="70" spans="1:5" ht="12" customHeight="1" x14ac:dyDescent="0.3">
      <c r="A70" s="2">
        <f>A69</f>
        <v>0</v>
      </c>
      <c r="B70" s="2">
        <f>WEEKNUM('근무표(입력)'!$A$3, 2) + 3</f>
        <v>8</v>
      </c>
      <c r="C70" s="3">
        <f>SUMIFS('근무표(입력)'!$F$3:$F$33, '근무표(입력)'!$C$3:$C$33, $A70, '근무표(입력)'!$AN$3:$AN$33, $B70)+SUMIFS('근무표(입력)'!$J$3:$J$33, '근무표(입력)'!$G$3:$G$33, $A70, '근무표(입력)'!$AN$3:$AN$33, $B70)+SUMIFS('근무표(입력)'!$N$3:$N$33, '근무표(입력)'!$K$3:$K$33, $A70, '근무표(입력)'!$AN$3:$AN$33, $B70)+SUMIFS('근무표(입력)'!$R$3:$R$33, '근무표(입력)'!$O$3:$O$33, $A70, '근무표(입력)'!$AN$3:$AN$33, $B70)</f>
        <v>0</v>
      </c>
      <c r="D70" s="2" t="str">
        <f t="shared" si="16"/>
        <v>X</v>
      </c>
      <c r="E70" s="4">
        <f t="shared" si="17"/>
        <v>0</v>
      </c>
    </row>
    <row r="71" spans="1:5" ht="12" customHeight="1" x14ac:dyDescent="0.3">
      <c r="A71" s="2">
        <f>A70</f>
        <v>0</v>
      </c>
      <c r="B71" s="2">
        <f>WEEKNUM('근무표(입력)'!$A$3, 2) + 4</f>
        <v>9</v>
      </c>
      <c r="C71" s="3">
        <f>SUMIFS('근무표(입력)'!$F$3:$F$33, '근무표(입력)'!$C$3:$C$33, $A71, '근무표(입력)'!$AN$3:$AN$33, $B71)+SUMIFS('근무표(입력)'!$J$3:$J$33, '근무표(입력)'!$G$3:$G$33, $A71, '근무표(입력)'!$AN$3:$AN$33, $B71)+SUMIFS('근무표(입력)'!$N$3:$N$33, '근무표(입력)'!$K$3:$K$33, $A71, '근무표(입력)'!$AN$3:$AN$33, $B71)+SUMIFS('근무표(입력)'!$R$3:$R$33, '근무표(입력)'!$O$3:$O$33, $A71, '근무표(입력)'!$AN$3:$AN$33, $B71)</f>
        <v>0</v>
      </c>
      <c r="D71" s="2" t="str">
        <f t="shared" si="16"/>
        <v>X</v>
      </c>
      <c r="E71" s="4">
        <f t="shared" si="17"/>
        <v>0</v>
      </c>
    </row>
    <row r="72" spans="1:5" ht="12" customHeight="1" x14ac:dyDescent="0.3">
      <c r="A72" s="2">
        <f>A71</f>
        <v>0</v>
      </c>
      <c r="B72" s="2">
        <f>WEEKNUM('근무표(입력)'!$A$3, 2) + 5</f>
        <v>10</v>
      </c>
      <c r="C72" s="3">
        <f>SUMIFS('근무표(입력)'!$F$3:$F$33, '근무표(입력)'!$C$3:$C$33, $A72, '근무표(입력)'!$AN$3:$AN$33, $B72)+SUMIFS('근무표(입력)'!$J$3:$J$33, '근무표(입력)'!$G$3:$G$33, $A72, '근무표(입력)'!$AN$3:$AN$33, $B72)+SUMIFS('근무표(입력)'!$N$3:$N$33, '근무표(입력)'!$K$3:$K$33, $A72, '근무표(입력)'!$AN$3:$AN$33, $B72)+SUMIFS('근무표(입력)'!$R$3:$R$33, '근무표(입력)'!$O$3:$O$33, $A72, '근무표(입력)'!$AN$3:$AN$33, $B72)</f>
        <v>0</v>
      </c>
      <c r="D72" s="2" t="str">
        <f t="shared" si="16"/>
        <v>X</v>
      </c>
      <c r="E72" s="4">
        <f t="shared" si="17"/>
        <v>0</v>
      </c>
    </row>
    <row r="73" spans="1:5" ht="12" customHeight="1" x14ac:dyDescent="0.3"/>
    <row r="74" spans="1:5" ht="12" customHeight="1" x14ac:dyDescent="0.3">
      <c r="A74" s="1" t="s">
        <v>9</v>
      </c>
      <c r="B74" s="1" t="s">
        <v>18</v>
      </c>
      <c r="C74" s="1" t="s">
        <v>19</v>
      </c>
      <c r="D74" s="1" t="s">
        <v>20</v>
      </c>
      <c r="E74" s="1" t="s">
        <v>21</v>
      </c>
    </row>
    <row r="75" spans="1:5" ht="12" customHeight="1" x14ac:dyDescent="0.3">
      <c r="A75" s="2">
        <f>'근무표(입력)'!Y12</f>
        <v>0</v>
      </c>
      <c r="B75" s="2">
        <f>WEEKNUM('근무표(입력)'!$A$3, 2) + 0</f>
        <v>5</v>
      </c>
      <c r="C75" s="3">
        <f>SUMIFS('근무표(입력)'!$F$3:$F$33, '근무표(입력)'!$C$3:$C$33, $A75, '근무표(입력)'!$AN$3:$AN$33, $B75)+SUMIFS('근무표(입력)'!$J$3:$J$33, '근무표(입력)'!$G$3:$G$33, $A75, '근무표(입력)'!$AN$3:$AN$33, $B75)+SUMIFS('근무표(입력)'!$N$3:$N$33, '근무표(입력)'!$K$3:$K$33, $A75, '근무표(입력)'!$AN$3:$AN$33, $B75)+SUMIFS('근무표(입력)'!$R$3:$R$33, '근무표(입력)'!$O$3:$O$33, $A75, '근무표(입력)'!$AN$3:$AN$33, $B75)</f>
        <v>0</v>
      </c>
      <c r="D75" s="2" t="str">
        <f t="shared" ref="D75:D80" si="18">IF(C75&gt;=15, "O", "X")</f>
        <v>X</v>
      </c>
      <c r="E75" s="4">
        <f t="shared" ref="E75:E80" si="19">IF(D75="O", MIN(C75/5, 8)*10030, 0)</f>
        <v>0</v>
      </c>
    </row>
    <row r="76" spans="1:5" ht="12" customHeight="1" x14ac:dyDescent="0.3">
      <c r="A76" s="2">
        <f>A75</f>
        <v>0</v>
      </c>
      <c r="B76" s="2">
        <f>WEEKNUM('근무표(입력)'!$A$3, 2) + 1</f>
        <v>6</v>
      </c>
      <c r="C76" s="3">
        <f>SUMIFS('근무표(입력)'!$F$3:$F$33, '근무표(입력)'!$C$3:$C$33, $A76, '근무표(입력)'!$AN$3:$AN$33, $B76)+SUMIFS('근무표(입력)'!$J$3:$J$33, '근무표(입력)'!$G$3:$G$33, $A76, '근무표(입력)'!$AN$3:$AN$33, $B76)+SUMIFS('근무표(입력)'!$N$3:$N$33, '근무표(입력)'!$K$3:$K$33, $A76, '근무표(입력)'!$AN$3:$AN$33, $B76)+SUMIFS('근무표(입력)'!$R$3:$R$33, '근무표(입력)'!$O$3:$O$33, $A76, '근무표(입력)'!$AN$3:$AN$33, $B76)</f>
        <v>0</v>
      </c>
      <c r="D76" s="2" t="str">
        <f t="shared" si="18"/>
        <v>X</v>
      </c>
      <c r="E76" s="4">
        <f t="shared" si="19"/>
        <v>0</v>
      </c>
    </row>
    <row r="77" spans="1:5" ht="12" customHeight="1" x14ac:dyDescent="0.3">
      <c r="A77" s="2">
        <f>A76</f>
        <v>0</v>
      </c>
      <c r="B77" s="2">
        <f>WEEKNUM('근무표(입력)'!$A$3, 2) + 2</f>
        <v>7</v>
      </c>
      <c r="C77" s="3">
        <f>SUMIFS('근무표(입력)'!$F$3:$F$33, '근무표(입력)'!$C$3:$C$33, $A77, '근무표(입력)'!$AN$3:$AN$33, $B77)+SUMIFS('근무표(입력)'!$J$3:$J$33, '근무표(입력)'!$G$3:$G$33, $A77, '근무표(입력)'!$AN$3:$AN$33, $B77)+SUMIFS('근무표(입력)'!$N$3:$N$33, '근무표(입력)'!$K$3:$K$33, $A77, '근무표(입력)'!$AN$3:$AN$33, $B77)+SUMIFS('근무표(입력)'!$R$3:$R$33, '근무표(입력)'!$O$3:$O$33, $A77, '근무표(입력)'!$AN$3:$AN$33, $B77)</f>
        <v>0</v>
      </c>
      <c r="D77" s="2" t="str">
        <f t="shared" si="18"/>
        <v>X</v>
      </c>
      <c r="E77" s="4">
        <f t="shared" si="19"/>
        <v>0</v>
      </c>
    </row>
    <row r="78" spans="1:5" ht="12" customHeight="1" x14ac:dyDescent="0.3">
      <c r="A78" s="2">
        <f>A77</f>
        <v>0</v>
      </c>
      <c r="B78" s="2">
        <f>WEEKNUM('근무표(입력)'!$A$3, 2) + 3</f>
        <v>8</v>
      </c>
      <c r="C78" s="3">
        <f>SUMIFS('근무표(입력)'!$F$3:$F$33, '근무표(입력)'!$C$3:$C$33, $A78, '근무표(입력)'!$AN$3:$AN$33, $B78)+SUMIFS('근무표(입력)'!$J$3:$J$33, '근무표(입력)'!$G$3:$G$33, $A78, '근무표(입력)'!$AN$3:$AN$33, $B78)+SUMIFS('근무표(입력)'!$N$3:$N$33, '근무표(입력)'!$K$3:$K$33, $A78, '근무표(입력)'!$AN$3:$AN$33, $B78)+SUMIFS('근무표(입력)'!$R$3:$R$33, '근무표(입력)'!$O$3:$O$33, $A78, '근무표(입력)'!$AN$3:$AN$33, $B78)</f>
        <v>0</v>
      </c>
      <c r="D78" s="2" t="str">
        <f t="shared" si="18"/>
        <v>X</v>
      </c>
      <c r="E78" s="4">
        <f t="shared" si="19"/>
        <v>0</v>
      </c>
    </row>
    <row r="79" spans="1:5" ht="12" customHeight="1" x14ac:dyDescent="0.3">
      <c r="A79" s="2">
        <f>A78</f>
        <v>0</v>
      </c>
      <c r="B79" s="2">
        <f>WEEKNUM('근무표(입력)'!$A$3, 2) + 4</f>
        <v>9</v>
      </c>
      <c r="C79" s="3">
        <f>SUMIFS('근무표(입력)'!$F$3:$F$33, '근무표(입력)'!$C$3:$C$33, $A79, '근무표(입력)'!$AN$3:$AN$33, $B79)+SUMIFS('근무표(입력)'!$J$3:$J$33, '근무표(입력)'!$G$3:$G$33, $A79, '근무표(입력)'!$AN$3:$AN$33, $B79)+SUMIFS('근무표(입력)'!$N$3:$N$33, '근무표(입력)'!$K$3:$K$33, $A79, '근무표(입력)'!$AN$3:$AN$33, $B79)+SUMIFS('근무표(입력)'!$R$3:$R$33, '근무표(입력)'!$O$3:$O$33, $A79, '근무표(입력)'!$AN$3:$AN$33, $B79)</f>
        <v>0</v>
      </c>
      <c r="D79" s="2" t="str">
        <f t="shared" si="18"/>
        <v>X</v>
      </c>
      <c r="E79" s="4">
        <f t="shared" si="19"/>
        <v>0</v>
      </c>
    </row>
    <row r="80" spans="1:5" ht="12" customHeight="1" x14ac:dyDescent="0.3">
      <c r="A80" s="2">
        <f>A79</f>
        <v>0</v>
      </c>
      <c r="B80" s="2">
        <f>WEEKNUM('근무표(입력)'!$A$3, 2) + 5</f>
        <v>10</v>
      </c>
      <c r="C80" s="3">
        <f>SUMIFS('근무표(입력)'!$F$3:$F$33, '근무표(입력)'!$C$3:$C$33, $A80, '근무표(입력)'!$AN$3:$AN$33, $B80)+SUMIFS('근무표(입력)'!$J$3:$J$33, '근무표(입력)'!$G$3:$G$33, $A80, '근무표(입력)'!$AN$3:$AN$33, $B80)+SUMIFS('근무표(입력)'!$N$3:$N$33, '근무표(입력)'!$K$3:$K$33, $A80, '근무표(입력)'!$AN$3:$AN$33, $B80)+SUMIFS('근무표(입력)'!$R$3:$R$33, '근무표(입력)'!$O$3:$O$33, $A80, '근무표(입력)'!$AN$3:$AN$33, $B80)</f>
        <v>0</v>
      </c>
      <c r="D80" s="2" t="str">
        <f t="shared" si="18"/>
        <v>X</v>
      </c>
      <c r="E80" s="4">
        <f t="shared" si="19"/>
        <v>0</v>
      </c>
    </row>
    <row r="81" spans="1:5" ht="12" customHeight="1" x14ac:dyDescent="0.3"/>
    <row r="82" spans="1:5" ht="12" customHeight="1" x14ac:dyDescent="0.3">
      <c r="A82" s="1" t="s">
        <v>9</v>
      </c>
      <c r="B82" s="1" t="s">
        <v>18</v>
      </c>
      <c r="C82" s="1" t="s">
        <v>19</v>
      </c>
      <c r="D82" s="1" t="s">
        <v>20</v>
      </c>
      <c r="E82" s="1" t="s">
        <v>21</v>
      </c>
    </row>
    <row r="83" spans="1:5" ht="12" customHeight="1" x14ac:dyDescent="0.3">
      <c r="A83" s="2">
        <f>'근무표(입력)'!Y13</f>
        <v>0</v>
      </c>
      <c r="B83" s="2">
        <f>WEEKNUM('근무표(입력)'!$A$3, 2) + 0</f>
        <v>5</v>
      </c>
      <c r="C83" s="3">
        <f>SUMIFS('근무표(입력)'!$F$3:$F$33, '근무표(입력)'!$C$3:$C$33, $A83, '근무표(입력)'!$AN$3:$AN$33, $B83)+SUMIFS('근무표(입력)'!$J$3:$J$33, '근무표(입력)'!$G$3:$G$33, $A83, '근무표(입력)'!$AN$3:$AN$33, $B83)+SUMIFS('근무표(입력)'!$N$3:$N$33, '근무표(입력)'!$K$3:$K$33, $A83, '근무표(입력)'!$AN$3:$AN$33, $B83)+SUMIFS('근무표(입력)'!$R$3:$R$33, '근무표(입력)'!$O$3:$O$33, $A83, '근무표(입력)'!$AN$3:$AN$33, $B83)</f>
        <v>0</v>
      </c>
      <c r="D83" s="2" t="str">
        <f t="shared" ref="D83:D88" si="20">IF(C83&gt;=15, "O", "X")</f>
        <v>X</v>
      </c>
      <c r="E83" s="4">
        <f t="shared" ref="E83:E88" si="21">IF(D83="O", MIN(C83/5, 8)*10030, 0)</f>
        <v>0</v>
      </c>
    </row>
    <row r="84" spans="1:5" ht="12" customHeight="1" x14ac:dyDescent="0.3">
      <c r="A84" s="2">
        <f>A83</f>
        <v>0</v>
      </c>
      <c r="B84" s="2">
        <f>WEEKNUM('근무표(입력)'!$A$3, 2) + 1</f>
        <v>6</v>
      </c>
      <c r="C84" s="3">
        <f>SUMIFS('근무표(입력)'!$F$3:$F$33, '근무표(입력)'!$C$3:$C$33, $A84, '근무표(입력)'!$AN$3:$AN$33, $B84)+SUMIFS('근무표(입력)'!$J$3:$J$33, '근무표(입력)'!$G$3:$G$33, $A84, '근무표(입력)'!$AN$3:$AN$33, $B84)+SUMIFS('근무표(입력)'!$N$3:$N$33, '근무표(입력)'!$K$3:$K$33, $A84, '근무표(입력)'!$AN$3:$AN$33, $B84)+SUMIFS('근무표(입력)'!$R$3:$R$33, '근무표(입력)'!$O$3:$O$33, $A84, '근무표(입력)'!$AN$3:$AN$33, $B84)</f>
        <v>0</v>
      </c>
      <c r="D84" s="2" t="str">
        <f t="shared" si="20"/>
        <v>X</v>
      </c>
      <c r="E84" s="4">
        <f t="shared" si="21"/>
        <v>0</v>
      </c>
    </row>
    <row r="85" spans="1:5" ht="12" customHeight="1" x14ac:dyDescent="0.3">
      <c r="A85" s="2">
        <f>A84</f>
        <v>0</v>
      </c>
      <c r="B85" s="2">
        <f>WEEKNUM('근무표(입력)'!$A$3, 2) + 2</f>
        <v>7</v>
      </c>
      <c r="C85" s="3">
        <f>SUMIFS('근무표(입력)'!$F$3:$F$33, '근무표(입력)'!$C$3:$C$33, $A85, '근무표(입력)'!$AN$3:$AN$33, $B85)+SUMIFS('근무표(입력)'!$J$3:$J$33, '근무표(입력)'!$G$3:$G$33, $A85, '근무표(입력)'!$AN$3:$AN$33, $B85)+SUMIFS('근무표(입력)'!$N$3:$N$33, '근무표(입력)'!$K$3:$K$33, $A85, '근무표(입력)'!$AN$3:$AN$33, $B85)+SUMIFS('근무표(입력)'!$R$3:$R$33, '근무표(입력)'!$O$3:$O$33, $A85, '근무표(입력)'!$AN$3:$AN$33, $B85)</f>
        <v>0</v>
      </c>
      <c r="D85" s="2" t="str">
        <f t="shared" si="20"/>
        <v>X</v>
      </c>
      <c r="E85" s="4">
        <f t="shared" si="21"/>
        <v>0</v>
      </c>
    </row>
    <row r="86" spans="1:5" ht="12" customHeight="1" x14ac:dyDescent="0.3">
      <c r="A86" s="2">
        <f>A85</f>
        <v>0</v>
      </c>
      <c r="B86" s="2">
        <f>WEEKNUM('근무표(입력)'!$A$3, 2) + 3</f>
        <v>8</v>
      </c>
      <c r="C86" s="3">
        <f>SUMIFS('근무표(입력)'!$F$3:$F$33, '근무표(입력)'!$C$3:$C$33, $A86, '근무표(입력)'!$AN$3:$AN$33, $B86)+SUMIFS('근무표(입력)'!$J$3:$J$33, '근무표(입력)'!$G$3:$G$33, $A86, '근무표(입력)'!$AN$3:$AN$33, $B86)+SUMIFS('근무표(입력)'!$N$3:$N$33, '근무표(입력)'!$K$3:$K$33, $A86, '근무표(입력)'!$AN$3:$AN$33, $B86)+SUMIFS('근무표(입력)'!$R$3:$R$33, '근무표(입력)'!$O$3:$O$33, $A86, '근무표(입력)'!$AN$3:$AN$33, $B86)</f>
        <v>0</v>
      </c>
      <c r="D86" s="2" t="str">
        <f t="shared" si="20"/>
        <v>X</v>
      </c>
      <c r="E86" s="4">
        <f t="shared" si="21"/>
        <v>0</v>
      </c>
    </row>
    <row r="87" spans="1:5" ht="12" customHeight="1" x14ac:dyDescent="0.3">
      <c r="A87" s="2">
        <f>A86</f>
        <v>0</v>
      </c>
      <c r="B87" s="2">
        <f>WEEKNUM('근무표(입력)'!$A$3, 2) + 4</f>
        <v>9</v>
      </c>
      <c r="C87" s="3">
        <f>SUMIFS('근무표(입력)'!$F$3:$F$33, '근무표(입력)'!$C$3:$C$33, $A87, '근무표(입력)'!$AN$3:$AN$33, $B87)+SUMIFS('근무표(입력)'!$J$3:$J$33, '근무표(입력)'!$G$3:$G$33, $A87, '근무표(입력)'!$AN$3:$AN$33, $B87)+SUMIFS('근무표(입력)'!$N$3:$N$33, '근무표(입력)'!$K$3:$K$33, $A87, '근무표(입력)'!$AN$3:$AN$33, $B87)+SUMIFS('근무표(입력)'!$R$3:$R$33, '근무표(입력)'!$O$3:$O$33, $A87, '근무표(입력)'!$AN$3:$AN$33, $B87)</f>
        <v>0</v>
      </c>
      <c r="D87" s="2" t="str">
        <f t="shared" si="20"/>
        <v>X</v>
      </c>
      <c r="E87" s="4">
        <f t="shared" si="21"/>
        <v>0</v>
      </c>
    </row>
    <row r="88" spans="1:5" ht="12" customHeight="1" x14ac:dyDescent="0.3">
      <c r="A88" s="2">
        <f>A87</f>
        <v>0</v>
      </c>
      <c r="B88" s="2">
        <f>WEEKNUM('근무표(입력)'!$A$3, 2) + 5</f>
        <v>10</v>
      </c>
      <c r="C88" s="3">
        <f>SUMIFS('근무표(입력)'!$F$3:$F$33, '근무표(입력)'!$C$3:$C$33, $A88, '근무표(입력)'!$AN$3:$AN$33, $B88)+SUMIFS('근무표(입력)'!$J$3:$J$33, '근무표(입력)'!$G$3:$G$33, $A88, '근무표(입력)'!$AN$3:$AN$33, $B88)+SUMIFS('근무표(입력)'!$N$3:$N$33, '근무표(입력)'!$K$3:$K$33, $A88, '근무표(입력)'!$AN$3:$AN$33, $B88)+SUMIFS('근무표(입력)'!$R$3:$R$33, '근무표(입력)'!$O$3:$O$33, $A88, '근무표(입력)'!$AN$3:$AN$33, $B88)</f>
        <v>0</v>
      </c>
      <c r="D88" s="2" t="str">
        <f t="shared" si="20"/>
        <v>X</v>
      </c>
      <c r="E88" s="4">
        <f t="shared" si="21"/>
        <v>0</v>
      </c>
    </row>
    <row r="89" spans="1:5" ht="12" customHeight="1" x14ac:dyDescent="0.3"/>
    <row r="90" spans="1:5" ht="12" customHeight="1" x14ac:dyDescent="0.3">
      <c r="A90" s="1" t="s">
        <v>9</v>
      </c>
      <c r="B90" s="1" t="s">
        <v>18</v>
      </c>
      <c r="C90" s="1" t="s">
        <v>19</v>
      </c>
      <c r="D90" s="1" t="s">
        <v>20</v>
      </c>
      <c r="E90" s="1" t="s">
        <v>21</v>
      </c>
    </row>
    <row r="91" spans="1:5" ht="12" customHeight="1" x14ac:dyDescent="0.3">
      <c r="A91" s="2">
        <f>'근무표(입력)'!Y14</f>
        <v>0</v>
      </c>
      <c r="B91" s="2">
        <f>WEEKNUM('근무표(입력)'!$A$3, 2) + 0</f>
        <v>5</v>
      </c>
      <c r="C91" s="3">
        <f>SUMIFS('근무표(입력)'!$F$3:$F$33, '근무표(입력)'!$C$3:$C$33, $A91, '근무표(입력)'!$AN$3:$AN$33, $B91)+SUMIFS('근무표(입력)'!$J$3:$J$33, '근무표(입력)'!$G$3:$G$33, $A91, '근무표(입력)'!$AN$3:$AN$33, $B91)+SUMIFS('근무표(입력)'!$N$3:$N$33, '근무표(입력)'!$K$3:$K$33, $A91, '근무표(입력)'!$AN$3:$AN$33, $B91)+SUMIFS('근무표(입력)'!$R$3:$R$33, '근무표(입력)'!$O$3:$O$33, $A91, '근무표(입력)'!$AN$3:$AN$33, $B91)</f>
        <v>0</v>
      </c>
      <c r="D91" s="2" t="str">
        <f t="shared" ref="D91:D96" si="22">IF(C91&gt;=15, "O", "X")</f>
        <v>X</v>
      </c>
      <c r="E91" s="4">
        <f t="shared" ref="E91:E96" si="23">IF(D91="O", MIN(C91/5, 8)*10030, 0)</f>
        <v>0</v>
      </c>
    </row>
    <row r="92" spans="1:5" ht="12" customHeight="1" x14ac:dyDescent="0.3">
      <c r="A92" s="2">
        <f>A91</f>
        <v>0</v>
      </c>
      <c r="B92" s="2">
        <f>WEEKNUM('근무표(입력)'!$A$3, 2) + 1</f>
        <v>6</v>
      </c>
      <c r="C92" s="3">
        <f>SUMIFS('근무표(입력)'!$F$3:$F$33, '근무표(입력)'!$C$3:$C$33, $A92, '근무표(입력)'!$AN$3:$AN$33, $B92)+SUMIFS('근무표(입력)'!$J$3:$J$33, '근무표(입력)'!$G$3:$G$33, $A92, '근무표(입력)'!$AN$3:$AN$33, $B92)+SUMIFS('근무표(입력)'!$N$3:$N$33, '근무표(입력)'!$K$3:$K$33, $A92, '근무표(입력)'!$AN$3:$AN$33, $B92)+SUMIFS('근무표(입력)'!$R$3:$R$33, '근무표(입력)'!$O$3:$O$33, $A92, '근무표(입력)'!$AN$3:$AN$33, $B92)</f>
        <v>0</v>
      </c>
      <c r="D92" s="2" t="str">
        <f t="shared" si="22"/>
        <v>X</v>
      </c>
      <c r="E92" s="4">
        <f t="shared" si="23"/>
        <v>0</v>
      </c>
    </row>
    <row r="93" spans="1:5" ht="12" customHeight="1" x14ac:dyDescent="0.3">
      <c r="A93" s="2">
        <f>A92</f>
        <v>0</v>
      </c>
      <c r="B93" s="2">
        <f>WEEKNUM('근무표(입력)'!$A$3, 2) + 2</f>
        <v>7</v>
      </c>
      <c r="C93" s="3">
        <f>SUMIFS('근무표(입력)'!$F$3:$F$33, '근무표(입력)'!$C$3:$C$33, $A93, '근무표(입력)'!$AN$3:$AN$33, $B93)+SUMIFS('근무표(입력)'!$J$3:$J$33, '근무표(입력)'!$G$3:$G$33, $A93, '근무표(입력)'!$AN$3:$AN$33, $B93)+SUMIFS('근무표(입력)'!$N$3:$N$33, '근무표(입력)'!$K$3:$K$33, $A93, '근무표(입력)'!$AN$3:$AN$33, $B93)+SUMIFS('근무표(입력)'!$R$3:$R$33, '근무표(입력)'!$O$3:$O$33, $A93, '근무표(입력)'!$AN$3:$AN$33, $B93)</f>
        <v>0</v>
      </c>
      <c r="D93" s="2" t="str">
        <f t="shared" si="22"/>
        <v>X</v>
      </c>
      <c r="E93" s="4">
        <f t="shared" si="23"/>
        <v>0</v>
      </c>
    </row>
    <row r="94" spans="1:5" ht="12" customHeight="1" x14ac:dyDescent="0.3">
      <c r="A94" s="2">
        <f>A93</f>
        <v>0</v>
      </c>
      <c r="B94" s="2">
        <f>WEEKNUM('근무표(입력)'!$A$3, 2) + 3</f>
        <v>8</v>
      </c>
      <c r="C94" s="3">
        <f>SUMIFS('근무표(입력)'!$F$3:$F$33, '근무표(입력)'!$C$3:$C$33, $A94, '근무표(입력)'!$AN$3:$AN$33, $B94)+SUMIFS('근무표(입력)'!$J$3:$J$33, '근무표(입력)'!$G$3:$G$33, $A94, '근무표(입력)'!$AN$3:$AN$33, $B94)+SUMIFS('근무표(입력)'!$N$3:$N$33, '근무표(입력)'!$K$3:$K$33, $A94, '근무표(입력)'!$AN$3:$AN$33, $B94)+SUMIFS('근무표(입력)'!$R$3:$R$33, '근무표(입력)'!$O$3:$O$33, $A94, '근무표(입력)'!$AN$3:$AN$33, $B94)</f>
        <v>0</v>
      </c>
      <c r="D94" s="2" t="str">
        <f t="shared" si="22"/>
        <v>X</v>
      </c>
      <c r="E94" s="4">
        <f t="shared" si="23"/>
        <v>0</v>
      </c>
    </row>
    <row r="95" spans="1:5" ht="12" customHeight="1" x14ac:dyDescent="0.3">
      <c r="A95" s="2">
        <f>A94</f>
        <v>0</v>
      </c>
      <c r="B95" s="2">
        <f>WEEKNUM('근무표(입력)'!$A$3, 2) + 4</f>
        <v>9</v>
      </c>
      <c r="C95" s="3">
        <f>SUMIFS('근무표(입력)'!$F$3:$F$33, '근무표(입력)'!$C$3:$C$33, $A95, '근무표(입력)'!$AN$3:$AN$33, $B95)+SUMIFS('근무표(입력)'!$J$3:$J$33, '근무표(입력)'!$G$3:$G$33, $A95, '근무표(입력)'!$AN$3:$AN$33, $B95)+SUMIFS('근무표(입력)'!$N$3:$N$33, '근무표(입력)'!$K$3:$K$33, $A95, '근무표(입력)'!$AN$3:$AN$33, $B95)+SUMIFS('근무표(입력)'!$R$3:$R$33, '근무표(입력)'!$O$3:$O$33, $A95, '근무표(입력)'!$AN$3:$AN$33, $B95)</f>
        <v>0</v>
      </c>
      <c r="D95" s="2" t="str">
        <f t="shared" si="22"/>
        <v>X</v>
      </c>
      <c r="E95" s="4">
        <f t="shared" si="23"/>
        <v>0</v>
      </c>
    </row>
    <row r="96" spans="1:5" ht="12" customHeight="1" x14ac:dyDescent="0.3">
      <c r="A96" s="2">
        <f>A95</f>
        <v>0</v>
      </c>
      <c r="B96" s="2">
        <f>WEEKNUM('근무표(입력)'!$A$3, 2) + 5</f>
        <v>10</v>
      </c>
      <c r="C96" s="3">
        <f>SUMIFS('근무표(입력)'!$F$3:$F$33, '근무표(입력)'!$C$3:$C$33, $A96, '근무표(입력)'!$AN$3:$AN$33, $B96)+SUMIFS('근무표(입력)'!$J$3:$J$33, '근무표(입력)'!$G$3:$G$33, $A96, '근무표(입력)'!$AN$3:$AN$33, $B96)+SUMIFS('근무표(입력)'!$N$3:$N$33, '근무표(입력)'!$K$3:$K$33, $A96, '근무표(입력)'!$AN$3:$AN$33, $B96)+SUMIFS('근무표(입력)'!$R$3:$R$33, '근무표(입력)'!$O$3:$O$33, $A96, '근무표(입력)'!$AN$3:$AN$33, $B96)</f>
        <v>0</v>
      </c>
      <c r="D96" s="2" t="str">
        <f t="shared" si="22"/>
        <v>X</v>
      </c>
      <c r="E96" s="4">
        <f t="shared" si="23"/>
        <v>0</v>
      </c>
    </row>
    <row r="97" spans="1:5" ht="12" customHeight="1" x14ac:dyDescent="0.3"/>
    <row r="98" spans="1:5" ht="12" customHeight="1" x14ac:dyDescent="0.3">
      <c r="A98" s="1" t="s">
        <v>9</v>
      </c>
      <c r="B98" s="1" t="s">
        <v>18</v>
      </c>
      <c r="C98" s="1" t="s">
        <v>19</v>
      </c>
      <c r="D98" s="1" t="s">
        <v>20</v>
      </c>
      <c r="E98" s="1" t="s">
        <v>21</v>
      </c>
    </row>
    <row r="99" spans="1:5" ht="12" customHeight="1" x14ac:dyDescent="0.3">
      <c r="A99" s="2">
        <f>'근무표(입력)'!Y15</f>
        <v>0</v>
      </c>
      <c r="B99" s="2">
        <f>WEEKNUM('근무표(입력)'!$A$3, 2) + 0</f>
        <v>5</v>
      </c>
      <c r="C99" s="3">
        <f>SUMIFS('근무표(입력)'!$F$3:$F$33, '근무표(입력)'!$C$3:$C$33, $A99, '근무표(입력)'!$AN$3:$AN$33, $B99)+SUMIFS('근무표(입력)'!$J$3:$J$33, '근무표(입력)'!$G$3:$G$33, $A99, '근무표(입력)'!$AN$3:$AN$33, $B99)+SUMIFS('근무표(입력)'!$N$3:$N$33, '근무표(입력)'!$K$3:$K$33, $A99, '근무표(입력)'!$AN$3:$AN$33, $B99)+SUMIFS('근무표(입력)'!$R$3:$R$33, '근무표(입력)'!$O$3:$O$33, $A99, '근무표(입력)'!$AN$3:$AN$33, $B99)</f>
        <v>0</v>
      </c>
      <c r="D99" s="2" t="str">
        <f t="shared" ref="D99:D104" si="24">IF(C99&gt;=15, "O", "X")</f>
        <v>X</v>
      </c>
      <c r="E99" s="4">
        <f t="shared" ref="E99:E104" si="25">IF(D99="O", MIN(C99/5, 8)*10030, 0)</f>
        <v>0</v>
      </c>
    </row>
    <row r="100" spans="1:5" ht="12" customHeight="1" x14ac:dyDescent="0.3">
      <c r="A100" s="2">
        <f>A99</f>
        <v>0</v>
      </c>
      <c r="B100" s="2">
        <f>WEEKNUM('근무표(입력)'!$A$3, 2) + 1</f>
        <v>6</v>
      </c>
      <c r="C100" s="3">
        <f>SUMIFS('근무표(입력)'!$F$3:$F$33, '근무표(입력)'!$C$3:$C$33, $A100, '근무표(입력)'!$AN$3:$AN$33, $B100)+SUMIFS('근무표(입력)'!$J$3:$J$33, '근무표(입력)'!$G$3:$G$33, $A100, '근무표(입력)'!$AN$3:$AN$33, $B100)+SUMIFS('근무표(입력)'!$N$3:$N$33, '근무표(입력)'!$K$3:$K$33, $A100, '근무표(입력)'!$AN$3:$AN$33, $B100)+SUMIFS('근무표(입력)'!$R$3:$R$33, '근무표(입력)'!$O$3:$O$33, $A100, '근무표(입력)'!$AN$3:$AN$33, $B100)</f>
        <v>0</v>
      </c>
      <c r="D100" s="2" t="str">
        <f t="shared" si="24"/>
        <v>X</v>
      </c>
      <c r="E100" s="4">
        <f t="shared" si="25"/>
        <v>0</v>
      </c>
    </row>
    <row r="101" spans="1:5" ht="12" customHeight="1" x14ac:dyDescent="0.3">
      <c r="A101" s="2">
        <f>A100</f>
        <v>0</v>
      </c>
      <c r="B101" s="2">
        <f>WEEKNUM('근무표(입력)'!$A$3, 2) + 2</f>
        <v>7</v>
      </c>
      <c r="C101" s="3">
        <f>SUMIFS('근무표(입력)'!$F$3:$F$33, '근무표(입력)'!$C$3:$C$33, $A101, '근무표(입력)'!$AN$3:$AN$33, $B101)+SUMIFS('근무표(입력)'!$J$3:$J$33, '근무표(입력)'!$G$3:$G$33, $A101, '근무표(입력)'!$AN$3:$AN$33, $B101)+SUMIFS('근무표(입력)'!$N$3:$N$33, '근무표(입력)'!$K$3:$K$33, $A101, '근무표(입력)'!$AN$3:$AN$33, $B101)+SUMIFS('근무표(입력)'!$R$3:$R$33, '근무표(입력)'!$O$3:$O$33, $A101, '근무표(입력)'!$AN$3:$AN$33, $B101)</f>
        <v>0</v>
      </c>
      <c r="D101" s="2" t="str">
        <f t="shared" si="24"/>
        <v>X</v>
      </c>
      <c r="E101" s="4">
        <f t="shared" si="25"/>
        <v>0</v>
      </c>
    </row>
    <row r="102" spans="1:5" ht="12" customHeight="1" x14ac:dyDescent="0.3">
      <c r="A102" s="2">
        <f>A101</f>
        <v>0</v>
      </c>
      <c r="B102" s="2">
        <f>WEEKNUM('근무표(입력)'!$A$3, 2) + 3</f>
        <v>8</v>
      </c>
      <c r="C102" s="3">
        <f>SUMIFS('근무표(입력)'!$F$3:$F$33, '근무표(입력)'!$C$3:$C$33, $A102, '근무표(입력)'!$AN$3:$AN$33, $B102)+SUMIFS('근무표(입력)'!$J$3:$J$33, '근무표(입력)'!$G$3:$G$33, $A102, '근무표(입력)'!$AN$3:$AN$33, $B102)+SUMIFS('근무표(입력)'!$N$3:$N$33, '근무표(입력)'!$K$3:$K$33, $A102, '근무표(입력)'!$AN$3:$AN$33, $B102)+SUMIFS('근무표(입력)'!$R$3:$R$33, '근무표(입력)'!$O$3:$O$33, $A102, '근무표(입력)'!$AN$3:$AN$33, $B102)</f>
        <v>0</v>
      </c>
      <c r="D102" s="2" t="str">
        <f t="shared" si="24"/>
        <v>X</v>
      </c>
      <c r="E102" s="4">
        <f t="shared" si="25"/>
        <v>0</v>
      </c>
    </row>
    <row r="103" spans="1:5" ht="12" customHeight="1" x14ac:dyDescent="0.3">
      <c r="A103" s="2">
        <f>A102</f>
        <v>0</v>
      </c>
      <c r="B103" s="2">
        <f>WEEKNUM('근무표(입력)'!$A$3, 2) + 4</f>
        <v>9</v>
      </c>
      <c r="C103" s="3">
        <f>SUMIFS('근무표(입력)'!$F$3:$F$33, '근무표(입력)'!$C$3:$C$33, $A103, '근무표(입력)'!$AN$3:$AN$33, $B103)+SUMIFS('근무표(입력)'!$J$3:$J$33, '근무표(입력)'!$G$3:$G$33, $A103, '근무표(입력)'!$AN$3:$AN$33, $B103)+SUMIFS('근무표(입력)'!$N$3:$N$33, '근무표(입력)'!$K$3:$K$33, $A103, '근무표(입력)'!$AN$3:$AN$33, $B103)+SUMIFS('근무표(입력)'!$R$3:$R$33, '근무표(입력)'!$O$3:$O$33, $A103, '근무표(입력)'!$AN$3:$AN$33, $B103)</f>
        <v>0</v>
      </c>
      <c r="D103" s="2" t="str">
        <f t="shared" si="24"/>
        <v>X</v>
      </c>
      <c r="E103" s="4">
        <f t="shared" si="25"/>
        <v>0</v>
      </c>
    </row>
    <row r="104" spans="1:5" ht="12" customHeight="1" x14ac:dyDescent="0.3">
      <c r="A104" s="2">
        <f>A103</f>
        <v>0</v>
      </c>
      <c r="B104" s="2">
        <f>WEEKNUM('근무표(입력)'!$A$3, 2) + 5</f>
        <v>10</v>
      </c>
      <c r="C104" s="3">
        <f>SUMIFS('근무표(입력)'!$F$3:$F$33, '근무표(입력)'!$C$3:$C$33, $A104, '근무표(입력)'!$AN$3:$AN$33, $B104)+SUMIFS('근무표(입력)'!$J$3:$J$33, '근무표(입력)'!$G$3:$G$33, $A104, '근무표(입력)'!$AN$3:$AN$33, $B104)+SUMIFS('근무표(입력)'!$N$3:$N$33, '근무표(입력)'!$K$3:$K$33, $A104, '근무표(입력)'!$AN$3:$AN$33, $B104)+SUMIFS('근무표(입력)'!$R$3:$R$33, '근무표(입력)'!$O$3:$O$33, $A104, '근무표(입력)'!$AN$3:$AN$33, $B104)</f>
        <v>0</v>
      </c>
      <c r="D104" s="2" t="str">
        <f t="shared" si="24"/>
        <v>X</v>
      </c>
      <c r="E104" s="4">
        <f t="shared" si="25"/>
        <v>0</v>
      </c>
    </row>
    <row r="105" spans="1:5" ht="12" customHeight="1" x14ac:dyDescent="0.3"/>
    <row r="106" spans="1:5" ht="12" customHeight="1" x14ac:dyDescent="0.3">
      <c r="A106" s="1" t="s">
        <v>9</v>
      </c>
      <c r="B106" s="1" t="s">
        <v>18</v>
      </c>
      <c r="C106" s="1" t="s">
        <v>19</v>
      </c>
      <c r="D106" s="1" t="s">
        <v>20</v>
      </c>
      <c r="E106" s="1" t="s">
        <v>21</v>
      </c>
    </row>
    <row r="107" spans="1:5" ht="12" customHeight="1" x14ac:dyDescent="0.3">
      <c r="A107" s="2">
        <f>'근무표(입력)'!Y16</f>
        <v>0</v>
      </c>
      <c r="B107" s="2">
        <f>WEEKNUM('근무표(입력)'!$A$3, 2) + 0</f>
        <v>5</v>
      </c>
      <c r="C107" s="3">
        <f>SUMIFS('근무표(입력)'!$F$3:$F$33, '근무표(입력)'!$C$3:$C$33, $A107, '근무표(입력)'!$AN$3:$AN$33, $B107)+SUMIFS('근무표(입력)'!$J$3:$J$33, '근무표(입력)'!$G$3:$G$33, $A107, '근무표(입력)'!$AN$3:$AN$33, $B107)+SUMIFS('근무표(입력)'!$N$3:$N$33, '근무표(입력)'!$K$3:$K$33, $A107, '근무표(입력)'!$AN$3:$AN$33, $B107)+SUMIFS('근무표(입력)'!$R$3:$R$33, '근무표(입력)'!$O$3:$O$33, $A107, '근무표(입력)'!$AN$3:$AN$33, $B107)</f>
        <v>0</v>
      </c>
      <c r="D107" s="2" t="str">
        <f t="shared" ref="D107:D112" si="26">IF(C107&gt;=15, "O", "X")</f>
        <v>X</v>
      </c>
      <c r="E107" s="4">
        <f t="shared" ref="E107:E112" si="27">IF(D107="O", MIN(C107/5, 8)*10030, 0)</f>
        <v>0</v>
      </c>
    </row>
    <row r="108" spans="1:5" ht="12" customHeight="1" x14ac:dyDescent="0.3">
      <c r="A108" s="2">
        <f>A107</f>
        <v>0</v>
      </c>
      <c r="B108" s="2">
        <f>WEEKNUM('근무표(입력)'!$A$3, 2) + 1</f>
        <v>6</v>
      </c>
      <c r="C108" s="3">
        <f>SUMIFS('근무표(입력)'!$F$3:$F$33, '근무표(입력)'!$C$3:$C$33, $A108, '근무표(입력)'!$AN$3:$AN$33, $B108)+SUMIFS('근무표(입력)'!$J$3:$J$33, '근무표(입력)'!$G$3:$G$33, $A108, '근무표(입력)'!$AN$3:$AN$33, $B108)+SUMIFS('근무표(입력)'!$N$3:$N$33, '근무표(입력)'!$K$3:$K$33, $A108, '근무표(입력)'!$AN$3:$AN$33, $B108)+SUMIFS('근무표(입력)'!$R$3:$R$33, '근무표(입력)'!$O$3:$O$33, $A108, '근무표(입력)'!$AN$3:$AN$33, $B108)</f>
        <v>0</v>
      </c>
      <c r="D108" s="2" t="str">
        <f t="shared" si="26"/>
        <v>X</v>
      </c>
      <c r="E108" s="4">
        <f t="shared" si="27"/>
        <v>0</v>
      </c>
    </row>
    <row r="109" spans="1:5" ht="12" customHeight="1" x14ac:dyDescent="0.3">
      <c r="A109" s="2">
        <f>A108</f>
        <v>0</v>
      </c>
      <c r="B109" s="2">
        <f>WEEKNUM('근무표(입력)'!$A$3, 2) + 2</f>
        <v>7</v>
      </c>
      <c r="C109" s="3">
        <f>SUMIFS('근무표(입력)'!$F$3:$F$33, '근무표(입력)'!$C$3:$C$33, $A109, '근무표(입력)'!$AN$3:$AN$33, $B109)+SUMIFS('근무표(입력)'!$J$3:$J$33, '근무표(입력)'!$G$3:$G$33, $A109, '근무표(입력)'!$AN$3:$AN$33, $B109)+SUMIFS('근무표(입력)'!$N$3:$N$33, '근무표(입력)'!$K$3:$K$33, $A109, '근무표(입력)'!$AN$3:$AN$33, $B109)+SUMIFS('근무표(입력)'!$R$3:$R$33, '근무표(입력)'!$O$3:$O$33, $A109, '근무표(입력)'!$AN$3:$AN$33, $B109)</f>
        <v>0</v>
      </c>
      <c r="D109" s="2" t="str">
        <f t="shared" si="26"/>
        <v>X</v>
      </c>
      <c r="E109" s="4">
        <f t="shared" si="27"/>
        <v>0</v>
      </c>
    </row>
    <row r="110" spans="1:5" ht="12" customHeight="1" x14ac:dyDescent="0.3">
      <c r="A110" s="2">
        <f>A109</f>
        <v>0</v>
      </c>
      <c r="B110" s="2">
        <f>WEEKNUM('근무표(입력)'!$A$3, 2) + 3</f>
        <v>8</v>
      </c>
      <c r="C110" s="3">
        <f>SUMIFS('근무표(입력)'!$F$3:$F$33, '근무표(입력)'!$C$3:$C$33, $A110, '근무표(입력)'!$AN$3:$AN$33, $B110)+SUMIFS('근무표(입력)'!$J$3:$J$33, '근무표(입력)'!$G$3:$G$33, $A110, '근무표(입력)'!$AN$3:$AN$33, $B110)+SUMIFS('근무표(입력)'!$N$3:$N$33, '근무표(입력)'!$K$3:$K$33, $A110, '근무표(입력)'!$AN$3:$AN$33, $B110)+SUMIFS('근무표(입력)'!$R$3:$R$33, '근무표(입력)'!$O$3:$O$33, $A110, '근무표(입력)'!$AN$3:$AN$33, $B110)</f>
        <v>0</v>
      </c>
      <c r="D110" s="2" t="str">
        <f t="shared" si="26"/>
        <v>X</v>
      </c>
      <c r="E110" s="4">
        <f t="shared" si="27"/>
        <v>0</v>
      </c>
    </row>
    <row r="111" spans="1:5" ht="12" customHeight="1" x14ac:dyDescent="0.3">
      <c r="A111" s="2">
        <f>A110</f>
        <v>0</v>
      </c>
      <c r="B111" s="2">
        <f>WEEKNUM('근무표(입력)'!$A$3, 2) + 4</f>
        <v>9</v>
      </c>
      <c r="C111" s="3">
        <f>SUMIFS('근무표(입력)'!$F$3:$F$33, '근무표(입력)'!$C$3:$C$33, $A111, '근무표(입력)'!$AN$3:$AN$33, $B111)+SUMIFS('근무표(입력)'!$J$3:$J$33, '근무표(입력)'!$G$3:$G$33, $A111, '근무표(입력)'!$AN$3:$AN$33, $B111)+SUMIFS('근무표(입력)'!$N$3:$N$33, '근무표(입력)'!$K$3:$K$33, $A111, '근무표(입력)'!$AN$3:$AN$33, $B111)+SUMIFS('근무표(입력)'!$R$3:$R$33, '근무표(입력)'!$O$3:$O$33, $A111, '근무표(입력)'!$AN$3:$AN$33, $B111)</f>
        <v>0</v>
      </c>
      <c r="D111" s="2" t="str">
        <f t="shared" si="26"/>
        <v>X</v>
      </c>
      <c r="E111" s="4">
        <f t="shared" si="27"/>
        <v>0</v>
      </c>
    </row>
    <row r="112" spans="1:5" ht="12" customHeight="1" x14ac:dyDescent="0.3">
      <c r="A112" s="2">
        <f>A111</f>
        <v>0</v>
      </c>
      <c r="B112" s="2">
        <f>WEEKNUM('근무표(입력)'!$A$3, 2) + 5</f>
        <v>10</v>
      </c>
      <c r="C112" s="3">
        <f>SUMIFS('근무표(입력)'!$F$3:$F$33, '근무표(입력)'!$C$3:$C$33, $A112, '근무표(입력)'!$AN$3:$AN$33, $B112)+SUMIFS('근무표(입력)'!$J$3:$J$33, '근무표(입력)'!$G$3:$G$33, $A112, '근무표(입력)'!$AN$3:$AN$33, $B112)+SUMIFS('근무표(입력)'!$N$3:$N$33, '근무표(입력)'!$K$3:$K$33, $A112, '근무표(입력)'!$AN$3:$AN$33, $B112)+SUMIFS('근무표(입력)'!$R$3:$R$33, '근무표(입력)'!$O$3:$O$33, $A112, '근무표(입력)'!$AN$3:$AN$33, $B112)</f>
        <v>0</v>
      </c>
      <c r="D112" s="2" t="str">
        <f t="shared" si="26"/>
        <v>X</v>
      </c>
      <c r="E112" s="4">
        <f t="shared" si="27"/>
        <v>0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view="pageBreakPreview" zoomScale="80" zoomScaleNormal="100" zoomScaleSheetLayoutView="80" workbookViewId="0">
      <pane ySplit="3" topLeftCell="A4" activePane="bottomLeft" state="frozen"/>
      <selection pane="bottomLeft" activeCell="S14" sqref="S14"/>
    </sheetView>
  </sheetViews>
  <sheetFormatPr defaultRowHeight="16.5" x14ac:dyDescent="0.3"/>
  <cols>
    <col min="1" max="1" width="5.5" style="6" bestFit="1" customWidth="1"/>
    <col min="2" max="2" width="7.125" style="6" bestFit="1" customWidth="1"/>
    <col min="3" max="3" width="11.875" style="6" bestFit="1" customWidth="1"/>
    <col min="4" max="6" width="12.625" style="6" customWidth="1"/>
    <col min="7" max="7" width="15.375" style="6" bestFit="1" customWidth="1"/>
    <col min="8" max="13" width="12.625" style="6" customWidth="1"/>
    <col min="14" max="16384" width="9" style="6"/>
  </cols>
  <sheetData>
    <row r="1" spans="1:13" ht="26.25" x14ac:dyDescent="0.45">
      <c r="A1" s="140">
        <f>'근무표(입력)'!$A$3</f>
        <v>46054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</row>
    <row r="2" spans="1:13" ht="39.950000000000003" customHeight="1" x14ac:dyDescent="0.3">
      <c r="A2" s="138" t="s">
        <v>22</v>
      </c>
      <c r="B2" s="139"/>
      <c r="C2" s="135">
        <f>EOMONTH('근무표(입력)'!$A$3, 0)</f>
        <v>46081</v>
      </c>
      <c r="D2" s="136"/>
      <c r="E2" s="137"/>
    </row>
    <row r="3" spans="1:13" ht="39.950000000000003" customHeight="1" x14ac:dyDescent="0.3">
      <c r="A3" s="19" t="s">
        <v>23</v>
      </c>
      <c r="B3" s="19" t="s">
        <v>4</v>
      </c>
      <c r="C3" s="19" t="s">
        <v>5</v>
      </c>
      <c r="D3" s="19" t="s">
        <v>24</v>
      </c>
      <c r="E3" s="19" t="s">
        <v>25</v>
      </c>
      <c r="F3" s="19" t="s">
        <v>26</v>
      </c>
      <c r="G3" s="19" t="s">
        <v>27</v>
      </c>
      <c r="H3" s="20" t="s">
        <v>28</v>
      </c>
      <c r="I3" s="20" t="s">
        <v>29</v>
      </c>
      <c r="J3" s="20" t="s">
        <v>30</v>
      </c>
      <c r="K3" s="20" t="s">
        <v>31</v>
      </c>
      <c r="L3" s="20" t="s">
        <v>32</v>
      </c>
      <c r="M3" s="20" t="s">
        <v>33</v>
      </c>
    </row>
    <row r="4" spans="1:13" ht="39.950000000000003" customHeight="1" x14ac:dyDescent="0.3">
      <c r="A4" s="5">
        <v>1</v>
      </c>
      <c r="B4" s="5" t="str">
        <f>'근무표(입력)'!Y3</f>
        <v>김도윤</v>
      </c>
      <c r="C4" s="16">
        <f>SUMIF('근무표(입력)'!$C$3:$C$33, B4, '근무표(입력)'!$F$3:$F$33)+SUMIF('근무표(입력)'!$G$3:$G$33, B4, '근무표(입력)'!$J$3:$J$33)+SUMIF('근무표(입력)'!$K$3:$K$33, B4, '근무표(입력)'!$N$3:$N$33)+SUMIF('근무표(입력)'!$O$3:$O$33, B4, '근무표(입력)'!$R$3:$R$33)</f>
        <v>0</v>
      </c>
      <c r="D4" s="17">
        <v>10030</v>
      </c>
      <c r="E4" s="17">
        <f t="shared" ref="E4:E10" si="0">C4*D4</f>
        <v>0</v>
      </c>
      <c r="F4" s="17">
        <f>SUMIF('주휴수당 상세 검증'!A:A, B4, '주휴수당 상세 검증'!E:E)</f>
        <v>0</v>
      </c>
      <c r="G4" s="17">
        <f t="shared" ref="G4:G10" si="1">E4+F4</f>
        <v>0</v>
      </c>
      <c r="H4" s="18">
        <f>IF(C4&gt;=60, TRUNC(G4*0.0475, -1), 0)</f>
        <v>0</v>
      </c>
      <c r="I4" s="18">
        <f>IF(C4&gt;=60, TRUNC(G4*0.03595, -1), 0)</f>
        <v>0</v>
      </c>
      <c r="J4" s="18">
        <f>TRUNC(I4*0.1314, -1)</f>
        <v>0</v>
      </c>
      <c r="K4" s="18">
        <f t="shared" ref="K4:K10" si="2">IF(C4&gt;=60, TRUNC(G4*0.009, -1), 0)</f>
        <v>0</v>
      </c>
      <c r="L4" s="18">
        <f t="shared" ref="L4:L10" si="3">SUM(H4:K4)</f>
        <v>0</v>
      </c>
      <c r="M4" s="18">
        <f t="shared" ref="M4:M10" si="4">G4-L4</f>
        <v>0</v>
      </c>
    </row>
    <row r="5" spans="1:13" ht="39.950000000000003" customHeight="1" x14ac:dyDescent="0.3">
      <c r="A5" s="5">
        <v>2</v>
      </c>
      <c r="B5" s="5" t="str">
        <f>'근무표(입력)'!Y4</f>
        <v>김지수</v>
      </c>
      <c r="C5" s="16">
        <f>SUMIF('근무표(입력)'!$C$3:$C$33, B5, '근무표(입력)'!$F$3:$F$33)+SUMIF('근무표(입력)'!$G$3:$G$33, B5, '근무표(입력)'!$J$3:$J$33)+SUMIF('근무표(입력)'!$K$3:$K$33, B5, '근무표(입력)'!$N$3:$N$33)+SUMIF('근무표(입력)'!$O$3:$O$33, B5, '근무표(입력)'!$R$3:$R$33)</f>
        <v>0</v>
      </c>
      <c r="D5" s="17">
        <v>10030</v>
      </c>
      <c r="E5" s="17">
        <f t="shared" si="0"/>
        <v>0</v>
      </c>
      <c r="F5" s="17">
        <f>SUMIF('주휴수당 상세 검증'!A:A, B5, '주휴수당 상세 검증'!E:E)</f>
        <v>0</v>
      </c>
      <c r="G5" s="17">
        <f t="shared" si="1"/>
        <v>0</v>
      </c>
      <c r="H5" s="18">
        <f t="shared" ref="H5:H10" si="5">IF(C5&gt;=60, TRUNC(G5*0.0475, -1), 0)</f>
        <v>0</v>
      </c>
      <c r="I5" s="18">
        <f t="shared" ref="I5:I10" si="6">IF(C5&gt;=60, TRUNC(G5*0.03595, -1), 0)</f>
        <v>0</v>
      </c>
      <c r="J5" s="18">
        <f t="shared" ref="J5:J10" si="7">TRUNC(I5*0.1314, -1)</f>
        <v>0</v>
      </c>
      <c r="K5" s="18">
        <f t="shared" si="2"/>
        <v>0</v>
      </c>
      <c r="L5" s="18">
        <f t="shared" si="3"/>
        <v>0</v>
      </c>
      <c r="M5" s="18">
        <f t="shared" si="4"/>
        <v>0</v>
      </c>
    </row>
    <row r="6" spans="1:13" ht="39.950000000000003" customHeight="1" x14ac:dyDescent="0.3">
      <c r="A6" s="5">
        <v>3</v>
      </c>
      <c r="B6" s="5" t="str">
        <f>'근무표(입력)'!Y5</f>
        <v>김현호</v>
      </c>
      <c r="C6" s="16">
        <f>SUMIF('근무표(입력)'!$C$3:$C$33, B6, '근무표(입력)'!$F$3:$F$33)+SUMIF('근무표(입력)'!$G$3:$G$33, B6, '근무표(입력)'!$J$3:$J$33)+SUMIF('근무표(입력)'!$K$3:$K$33, B6, '근무표(입력)'!$N$3:$N$33)+SUMIF('근무표(입력)'!$O$3:$O$33, B6, '근무표(입력)'!$R$3:$R$33)</f>
        <v>0</v>
      </c>
      <c r="D6" s="17">
        <v>10030</v>
      </c>
      <c r="E6" s="17">
        <f t="shared" si="0"/>
        <v>0</v>
      </c>
      <c r="F6" s="17">
        <f>SUMIF('주휴수당 상세 검증'!A:A, B6, '주휴수당 상세 검증'!E:E)</f>
        <v>0</v>
      </c>
      <c r="G6" s="17">
        <f t="shared" si="1"/>
        <v>0</v>
      </c>
      <c r="H6" s="18">
        <f t="shared" si="5"/>
        <v>0</v>
      </c>
      <c r="I6" s="18">
        <f t="shared" si="6"/>
        <v>0</v>
      </c>
      <c r="J6" s="18">
        <f t="shared" si="7"/>
        <v>0</v>
      </c>
      <c r="K6" s="18">
        <f t="shared" si="2"/>
        <v>0</v>
      </c>
      <c r="L6" s="18">
        <f t="shared" si="3"/>
        <v>0</v>
      </c>
      <c r="M6" s="18">
        <f t="shared" si="4"/>
        <v>0</v>
      </c>
    </row>
    <row r="7" spans="1:13" ht="39.950000000000003" customHeight="1" x14ac:dyDescent="0.3">
      <c r="A7" s="5">
        <v>4</v>
      </c>
      <c r="B7" s="5" t="str">
        <f>'근무표(입력)'!Y6</f>
        <v>송채민</v>
      </c>
      <c r="C7" s="16">
        <f>SUMIF('근무표(입력)'!$C$3:$C$33, B7, '근무표(입력)'!$F$3:$F$33)+SUMIF('근무표(입력)'!$G$3:$G$33, B7, '근무표(입력)'!$J$3:$J$33)+SUMIF('근무표(입력)'!$K$3:$K$33, B7, '근무표(입력)'!$N$3:$N$33)+SUMIF('근무표(입력)'!$O$3:$O$33, B7, '근무표(입력)'!$R$3:$R$33)</f>
        <v>0</v>
      </c>
      <c r="D7" s="17">
        <v>10030</v>
      </c>
      <c r="E7" s="17">
        <f t="shared" si="0"/>
        <v>0</v>
      </c>
      <c r="F7" s="17">
        <f>SUMIF('주휴수당 상세 검증'!A:A, B7, '주휴수당 상세 검증'!E:E)</f>
        <v>0</v>
      </c>
      <c r="G7" s="17">
        <f t="shared" si="1"/>
        <v>0</v>
      </c>
      <c r="H7" s="18">
        <f t="shared" si="5"/>
        <v>0</v>
      </c>
      <c r="I7" s="18">
        <f t="shared" si="6"/>
        <v>0</v>
      </c>
      <c r="J7" s="18">
        <f t="shared" si="7"/>
        <v>0</v>
      </c>
      <c r="K7" s="18">
        <f t="shared" si="2"/>
        <v>0</v>
      </c>
      <c r="L7" s="18">
        <f t="shared" si="3"/>
        <v>0</v>
      </c>
      <c r="M7" s="18">
        <f t="shared" si="4"/>
        <v>0</v>
      </c>
    </row>
    <row r="8" spans="1:13" ht="39.950000000000003" customHeight="1" x14ac:dyDescent="0.3">
      <c r="A8" s="5">
        <v>5</v>
      </c>
      <c r="B8" s="5" t="str">
        <f>'근무표(입력)'!Y7</f>
        <v>이예은</v>
      </c>
      <c r="C8" s="16">
        <f>SUMIF('근무표(입력)'!$C$3:$C$33, B8, '근무표(입력)'!$F$3:$F$33)+SUMIF('근무표(입력)'!$G$3:$G$33, B8, '근무표(입력)'!$J$3:$J$33)+SUMIF('근무표(입력)'!$K$3:$K$33, B8, '근무표(입력)'!$N$3:$N$33)+SUMIF('근무표(입력)'!$O$3:$O$33, B8, '근무표(입력)'!$R$3:$R$33)</f>
        <v>0</v>
      </c>
      <c r="D8" s="17">
        <v>10030</v>
      </c>
      <c r="E8" s="17">
        <f t="shared" si="0"/>
        <v>0</v>
      </c>
      <c r="F8" s="17">
        <f>SUMIF('주휴수당 상세 검증'!A:A, B8, '주휴수당 상세 검증'!E:E)</f>
        <v>0</v>
      </c>
      <c r="G8" s="17">
        <f t="shared" si="1"/>
        <v>0</v>
      </c>
      <c r="H8" s="18">
        <f t="shared" si="5"/>
        <v>0</v>
      </c>
      <c r="I8" s="18">
        <f t="shared" si="6"/>
        <v>0</v>
      </c>
      <c r="J8" s="18">
        <f t="shared" si="7"/>
        <v>0</v>
      </c>
      <c r="K8" s="18">
        <f t="shared" si="2"/>
        <v>0</v>
      </c>
      <c r="L8" s="18">
        <f t="shared" si="3"/>
        <v>0</v>
      </c>
      <c r="M8" s="18">
        <f t="shared" si="4"/>
        <v>0</v>
      </c>
    </row>
    <row r="9" spans="1:13" ht="39.950000000000003" customHeight="1" x14ac:dyDescent="0.3">
      <c r="A9" s="5">
        <v>6</v>
      </c>
      <c r="B9" s="5" t="str">
        <f>'근무표(입력)'!Y8</f>
        <v>정가은</v>
      </c>
      <c r="C9" s="16">
        <f>SUMIF('근무표(입력)'!$C$3:$C$33, B9, '근무표(입력)'!$F$3:$F$33)+SUMIF('근무표(입력)'!$G$3:$G$33, B9, '근무표(입력)'!$J$3:$J$33)+SUMIF('근무표(입력)'!$K$3:$K$33, B9, '근무표(입력)'!$N$3:$N$33)+SUMIF('근무표(입력)'!$O$3:$O$33, B9, '근무표(입력)'!$R$3:$R$33)</f>
        <v>0</v>
      </c>
      <c r="D9" s="17">
        <v>10030</v>
      </c>
      <c r="E9" s="17">
        <f t="shared" si="0"/>
        <v>0</v>
      </c>
      <c r="F9" s="17">
        <f>SUMIF('주휴수당 상세 검증'!A:A, B9, '주휴수당 상세 검증'!E:E)</f>
        <v>0</v>
      </c>
      <c r="G9" s="17">
        <f t="shared" si="1"/>
        <v>0</v>
      </c>
      <c r="H9" s="18">
        <f t="shared" si="5"/>
        <v>0</v>
      </c>
      <c r="I9" s="18">
        <f t="shared" si="6"/>
        <v>0</v>
      </c>
      <c r="J9" s="18">
        <f t="shared" si="7"/>
        <v>0</v>
      </c>
      <c r="K9" s="18">
        <f t="shared" si="2"/>
        <v>0</v>
      </c>
      <c r="L9" s="18">
        <f t="shared" si="3"/>
        <v>0</v>
      </c>
      <c r="M9" s="18">
        <f t="shared" si="4"/>
        <v>0</v>
      </c>
    </row>
    <row r="10" spans="1:13" ht="39.950000000000003" customHeight="1" x14ac:dyDescent="0.3">
      <c r="A10" s="5">
        <v>7</v>
      </c>
      <c r="B10" s="5" t="str">
        <f>'근무표(입력)'!Y9</f>
        <v>황승연</v>
      </c>
      <c r="C10" s="16">
        <f>SUMIF('근무표(입력)'!$C$3:$C$33, B10, '근무표(입력)'!$F$3:$F$33)+SUMIF('근무표(입력)'!$G$3:$G$33, B10, '근무표(입력)'!$J$3:$J$33)+SUMIF('근무표(입력)'!$K$3:$K$33, B10, '근무표(입력)'!$N$3:$N$33)+SUMIF('근무표(입력)'!$O$3:$O$33, B10, '근무표(입력)'!$R$3:$R$33)</f>
        <v>0</v>
      </c>
      <c r="D10" s="17">
        <v>10030</v>
      </c>
      <c r="E10" s="17">
        <f t="shared" si="0"/>
        <v>0</v>
      </c>
      <c r="F10" s="17">
        <f>SUMIF('주휴수당 상세 검증'!A:A, B10, '주휴수당 상세 검증'!E:E)</f>
        <v>0</v>
      </c>
      <c r="G10" s="17">
        <f t="shared" si="1"/>
        <v>0</v>
      </c>
      <c r="H10" s="18">
        <f t="shared" si="5"/>
        <v>0</v>
      </c>
      <c r="I10" s="18">
        <f t="shared" si="6"/>
        <v>0</v>
      </c>
      <c r="J10" s="18">
        <f t="shared" si="7"/>
        <v>0</v>
      </c>
      <c r="K10" s="18">
        <f t="shared" si="2"/>
        <v>0</v>
      </c>
      <c r="L10" s="18">
        <f t="shared" si="3"/>
        <v>0</v>
      </c>
      <c r="M10" s="18">
        <f t="shared" si="4"/>
        <v>0</v>
      </c>
    </row>
    <row r="11" spans="1:13" ht="39.950000000000003" customHeight="1" x14ac:dyDescent="0.3">
      <c r="A11" s="5">
        <v>8</v>
      </c>
      <c r="B11" s="5">
        <f>'근무표(입력)'!Y10</f>
        <v>0</v>
      </c>
      <c r="C11" s="16">
        <f>SUMIF('근무표(입력)'!$C$3:$C$33, B11, '근무표(입력)'!$F$3:$F$33)+SUMIF('근무표(입력)'!$G$3:$G$33, B11, '근무표(입력)'!$J$3:$J$33)+SUMIF('근무표(입력)'!$K$3:$K$33, B11, '근무표(입력)'!$N$3:$N$33)+SUMIF('근무표(입력)'!$O$3:$O$33, B11, '근무표(입력)'!$R$3:$R$33)</f>
        <v>0</v>
      </c>
      <c r="D11" s="17">
        <v>10030</v>
      </c>
      <c r="E11" s="17">
        <f t="shared" ref="E11" si="8">C11*D11</f>
        <v>0</v>
      </c>
      <c r="F11" s="17">
        <f>SUMIF('주휴수당 상세 검증'!A:A, B11, '주휴수당 상세 검증'!E:E)</f>
        <v>0</v>
      </c>
      <c r="G11" s="17">
        <f t="shared" ref="G11" si="9">E11+F11</f>
        <v>0</v>
      </c>
      <c r="H11" s="18">
        <f t="shared" ref="H11" si="10">IF(C11&gt;=60, TRUNC(G11*0.0475, -1), 0)</f>
        <v>0</v>
      </c>
      <c r="I11" s="18">
        <f t="shared" ref="I11" si="11">IF(C11&gt;=60, TRUNC(G11*0.03595, -1), 0)</f>
        <v>0</v>
      </c>
      <c r="J11" s="18">
        <f t="shared" ref="J11" si="12">TRUNC(I11*0.1314, -1)</f>
        <v>0</v>
      </c>
      <c r="K11" s="18">
        <f t="shared" ref="K11" si="13">IF(C11&gt;=60, TRUNC(G11*0.009, -1), 0)</f>
        <v>0</v>
      </c>
      <c r="L11" s="18">
        <f t="shared" ref="L11" si="14">SUM(H11:K11)</f>
        <v>0</v>
      </c>
      <c r="M11" s="18">
        <f t="shared" ref="M11" si="15">G11-L11</f>
        <v>0</v>
      </c>
    </row>
    <row r="12" spans="1:13" ht="39.950000000000003" customHeight="1" x14ac:dyDescent="0.3">
      <c r="A12" s="5">
        <v>9</v>
      </c>
      <c r="B12" s="5">
        <f>'근무표(입력)'!Y11</f>
        <v>0</v>
      </c>
      <c r="C12" s="16">
        <f>SUMIF('근무표(입력)'!$C$3:$C$33, B12, '근무표(입력)'!$F$3:$F$33)+SUMIF('근무표(입력)'!$G$3:$G$33, B12, '근무표(입력)'!$J$3:$J$33)+SUMIF('근무표(입력)'!$K$3:$K$33, B12, '근무표(입력)'!$N$3:$N$33)+SUMIF('근무표(입력)'!$O$3:$O$33, B12, '근무표(입력)'!$R$3:$R$33)</f>
        <v>0</v>
      </c>
      <c r="D12" s="17">
        <v>10030</v>
      </c>
      <c r="E12" s="17">
        <f t="shared" ref="E12" si="16">C12*D12</f>
        <v>0</v>
      </c>
      <c r="F12" s="17">
        <f>SUMIF('주휴수당 상세 검증'!A:A, B12, '주휴수당 상세 검증'!E:E)</f>
        <v>0</v>
      </c>
      <c r="G12" s="17">
        <f t="shared" ref="G12" si="17">E12+F12</f>
        <v>0</v>
      </c>
      <c r="H12" s="18">
        <f t="shared" ref="H12" si="18">IF(C12&gt;=60, TRUNC(G12*0.0475, -1), 0)</f>
        <v>0</v>
      </c>
      <c r="I12" s="18">
        <f t="shared" ref="I12" si="19">IF(C12&gt;=60, TRUNC(G12*0.03595, -1), 0)</f>
        <v>0</v>
      </c>
      <c r="J12" s="18">
        <f t="shared" ref="J12" si="20">TRUNC(I12*0.1314, -1)</f>
        <v>0</v>
      </c>
      <c r="K12" s="18">
        <f t="shared" ref="K12" si="21">IF(C12&gt;=60, TRUNC(G12*0.009, -1), 0)</f>
        <v>0</v>
      </c>
      <c r="L12" s="18">
        <f t="shared" ref="L12" si="22">SUM(H12:K12)</f>
        <v>0</v>
      </c>
      <c r="M12" s="18">
        <f t="shared" ref="M12" si="23">G12-L12</f>
        <v>0</v>
      </c>
    </row>
    <row r="13" spans="1:13" ht="39.950000000000003" customHeight="1" x14ac:dyDescent="0.3">
      <c r="A13" s="5">
        <v>10</v>
      </c>
      <c r="B13" s="5">
        <f>'근무표(입력)'!Y12</f>
        <v>0</v>
      </c>
      <c r="C13" s="16">
        <f>SUMIF('근무표(입력)'!$C$3:$C$33, B13, '근무표(입력)'!$F$3:$F$33)+SUMIF('근무표(입력)'!$G$3:$G$33, B13, '근무표(입력)'!$J$3:$J$33)+SUMIF('근무표(입력)'!$K$3:$K$33, B13, '근무표(입력)'!$N$3:$N$33)+SUMIF('근무표(입력)'!$O$3:$O$33, B13, '근무표(입력)'!$R$3:$R$33)</f>
        <v>0</v>
      </c>
      <c r="D13" s="17">
        <v>10030</v>
      </c>
      <c r="E13" s="17">
        <f t="shared" ref="E13" si="24">C13*D13</f>
        <v>0</v>
      </c>
      <c r="F13" s="17">
        <f>SUMIF('주휴수당 상세 검증'!A:A, B13, '주휴수당 상세 검증'!E:E)</f>
        <v>0</v>
      </c>
      <c r="G13" s="17">
        <f t="shared" ref="G13" si="25">E13+F13</f>
        <v>0</v>
      </c>
      <c r="H13" s="18">
        <f t="shared" ref="H13" si="26">IF(C13&gt;=60, TRUNC(G13*0.0475, -1), 0)</f>
        <v>0</v>
      </c>
      <c r="I13" s="18">
        <f t="shared" ref="I13" si="27">IF(C13&gt;=60, TRUNC(G13*0.03595, -1), 0)</f>
        <v>0</v>
      </c>
      <c r="J13" s="18">
        <f t="shared" ref="J13" si="28">TRUNC(I13*0.1314, -1)</f>
        <v>0</v>
      </c>
      <c r="K13" s="18">
        <f t="shared" ref="K13" si="29">IF(C13&gt;=60, TRUNC(G13*0.009, -1), 0)</f>
        <v>0</v>
      </c>
      <c r="L13" s="18">
        <f t="shared" ref="L13" si="30">SUM(H13:K13)</f>
        <v>0</v>
      </c>
      <c r="M13" s="18">
        <f t="shared" ref="M13" si="31">G13-L13</f>
        <v>0</v>
      </c>
    </row>
    <row r="14" spans="1:13" ht="39.950000000000003" customHeight="1" x14ac:dyDescent="0.3">
      <c r="A14" s="5">
        <v>11</v>
      </c>
      <c r="B14" s="5">
        <f>'근무표(입력)'!Y13</f>
        <v>0</v>
      </c>
      <c r="C14" s="16">
        <f>SUMIF('근무표(입력)'!$C$3:$C$33, B14, '근무표(입력)'!$F$3:$F$33)+SUMIF('근무표(입력)'!$G$3:$G$33, B14, '근무표(입력)'!$J$3:$J$33)+SUMIF('근무표(입력)'!$K$3:$K$33, B14, '근무표(입력)'!$N$3:$N$33)+SUMIF('근무표(입력)'!$O$3:$O$33, B14, '근무표(입력)'!$R$3:$R$33)</f>
        <v>0</v>
      </c>
      <c r="D14" s="17">
        <v>10030</v>
      </c>
      <c r="E14" s="17">
        <f t="shared" ref="E14" si="32">C14*D14</f>
        <v>0</v>
      </c>
      <c r="F14" s="17">
        <f>SUMIF('주휴수당 상세 검증'!A:A, B14, '주휴수당 상세 검증'!E:E)</f>
        <v>0</v>
      </c>
      <c r="G14" s="17">
        <f t="shared" ref="G14" si="33">E14+F14</f>
        <v>0</v>
      </c>
      <c r="H14" s="18">
        <f t="shared" ref="H14" si="34">IF(C14&gt;=60, TRUNC(G14*0.0475, -1), 0)</f>
        <v>0</v>
      </c>
      <c r="I14" s="18">
        <f t="shared" ref="I14" si="35">IF(C14&gt;=60, TRUNC(G14*0.03595, -1), 0)</f>
        <v>0</v>
      </c>
      <c r="J14" s="18">
        <f t="shared" ref="J14" si="36">TRUNC(I14*0.1314, -1)</f>
        <v>0</v>
      </c>
      <c r="K14" s="18">
        <f t="shared" ref="K14" si="37">IF(C14&gt;=60, TRUNC(G14*0.009, -1), 0)</f>
        <v>0</v>
      </c>
      <c r="L14" s="18">
        <f t="shared" ref="L14" si="38">SUM(H14:K14)</f>
        <v>0</v>
      </c>
      <c r="M14" s="18">
        <f t="shared" ref="M14" si="39">G14-L14</f>
        <v>0</v>
      </c>
    </row>
    <row r="15" spans="1:13" ht="39.950000000000003" customHeight="1" x14ac:dyDescent="0.3">
      <c r="A15" s="5">
        <v>12</v>
      </c>
      <c r="B15" s="5">
        <f>'근무표(입력)'!Y14</f>
        <v>0</v>
      </c>
      <c r="C15" s="16">
        <f>SUMIF('근무표(입력)'!$C$3:$C$33, B15, '근무표(입력)'!$F$3:$F$33)+SUMIF('근무표(입력)'!$G$3:$G$33, B15, '근무표(입력)'!$J$3:$J$33)+SUMIF('근무표(입력)'!$K$3:$K$33, B15, '근무표(입력)'!$N$3:$N$33)+SUMIF('근무표(입력)'!$O$3:$O$33, B15, '근무표(입력)'!$R$3:$R$33)</f>
        <v>0</v>
      </c>
      <c r="D15" s="17">
        <v>10030</v>
      </c>
      <c r="E15" s="17">
        <f t="shared" ref="E15" si="40">C15*D15</f>
        <v>0</v>
      </c>
      <c r="F15" s="17">
        <f>SUMIF('주휴수당 상세 검증'!A:A, B15, '주휴수당 상세 검증'!E:E)</f>
        <v>0</v>
      </c>
      <c r="G15" s="17">
        <f t="shared" ref="G15" si="41">E15+F15</f>
        <v>0</v>
      </c>
      <c r="H15" s="18">
        <f t="shared" ref="H15" si="42">IF(C15&gt;=60, TRUNC(G15*0.0475, -1), 0)</f>
        <v>0</v>
      </c>
      <c r="I15" s="18">
        <f t="shared" ref="I15" si="43">IF(C15&gt;=60, TRUNC(G15*0.03595, -1), 0)</f>
        <v>0</v>
      </c>
      <c r="J15" s="18">
        <f t="shared" ref="J15" si="44">TRUNC(I15*0.1314, -1)</f>
        <v>0</v>
      </c>
      <c r="K15" s="18">
        <f t="shared" ref="K15" si="45">IF(C15&gt;=60, TRUNC(G15*0.009, -1), 0)</f>
        <v>0</v>
      </c>
      <c r="L15" s="18">
        <f t="shared" ref="L15" si="46">SUM(H15:K15)</f>
        <v>0</v>
      </c>
      <c r="M15" s="18">
        <f t="shared" ref="M15" si="47">G15-L15</f>
        <v>0</v>
      </c>
    </row>
    <row r="16" spans="1:13" ht="39.950000000000003" customHeight="1" x14ac:dyDescent="0.3">
      <c r="A16" s="5">
        <v>13</v>
      </c>
      <c r="B16" s="5">
        <f>'근무표(입력)'!Y15</f>
        <v>0</v>
      </c>
      <c r="C16" s="16">
        <f>SUMIF('근무표(입력)'!$C$3:$C$33, B16, '근무표(입력)'!$F$3:$F$33)+SUMIF('근무표(입력)'!$G$3:$G$33, B16, '근무표(입력)'!$J$3:$J$33)+SUMIF('근무표(입력)'!$K$3:$K$33, B16, '근무표(입력)'!$N$3:$N$33)+SUMIF('근무표(입력)'!$O$3:$O$33, B16, '근무표(입력)'!$R$3:$R$33)</f>
        <v>0</v>
      </c>
      <c r="D16" s="17">
        <v>10030</v>
      </c>
      <c r="E16" s="17">
        <f t="shared" ref="E16" si="48">C16*D16</f>
        <v>0</v>
      </c>
      <c r="F16" s="17">
        <f>SUMIF('주휴수당 상세 검증'!A:A, B16, '주휴수당 상세 검증'!E:E)</f>
        <v>0</v>
      </c>
      <c r="G16" s="17">
        <f t="shared" ref="G16" si="49">E16+F16</f>
        <v>0</v>
      </c>
      <c r="H16" s="18">
        <f t="shared" ref="H16" si="50">IF(C16&gt;=60, TRUNC(G16*0.0475, -1), 0)</f>
        <v>0</v>
      </c>
      <c r="I16" s="18">
        <f t="shared" ref="I16" si="51">IF(C16&gt;=60, TRUNC(G16*0.03595, -1), 0)</f>
        <v>0</v>
      </c>
      <c r="J16" s="18">
        <f t="shared" ref="J16" si="52">TRUNC(I16*0.1314, -1)</f>
        <v>0</v>
      </c>
      <c r="K16" s="18">
        <f t="shared" ref="K16" si="53">IF(C16&gt;=60, TRUNC(G16*0.009, -1), 0)</f>
        <v>0</v>
      </c>
      <c r="L16" s="18">
        <f t="shared" ref="L16" si="54">SUM(H16:K16)</f>
        <v>0</v>
      </c>
      <c r="M16" s="18">
        <f t="shared" ref="M16" si="55">G16-L16</f>
        <v>0</v>
      </c>
    </row>
    <row r="17" spans="1:13" ht="39.950000000000003" customHeight="1" x14ac:dyDescent="0.3">
      <c r="A17" s="5">
        <v>14</v>
      </c>
      <c r="B17" s="5">
        <f>'근무표(입력)'!Y16</f>
        <v>0</v>
      </c>
      <c r="C17" s="16">
        <f>SUMIF('근무표(입력)'!$C$3:$C$33, B17, '근무표(입력)'!$F$3:$F$33)+SUMIF('근무표(입력)'!$G$3:$G$33, B17, '근무표(입력)'!$J$3:$J$33)+SUMIF('근무표(입력)'!$K$3:$K$33, B17, '근무표(입력)'!$N$3:$N$33)+SUMIF('근무표(입력)'!$O$3:$O$33, B17, '근무표(입력)'!$R$3:$R$33)</f>
        <v>0</v>
      </c>
      <c r="D17" s="17">
        <v>10030</v>
      </c>
      <c r="E17" s="17">
        <f t="shared" ref="E17" si="56">C17*D17</f>
        <v>0</v>
      </c>
      <c r="F17" s="17">
        <f>SUMIF('주휴수당 상세 검증'!A:A, B17, '주휴수당 상세 검증'!E:E)</f>
        <v>0</v>
      </c>
      <c r="G17" s="17">
        <f t="shared" ref="G17" si="57">E17+F17</f>
        <v>0</v>
      </c>
      <c r="H17" s="18">
        <f t="shared" ref="H17" si="58">IF(C17&gt;=60, TRUNC(G17*0.0475, -1), 0)</f>
        <v>0</v>
      </c>
      <c r="I17" s="18">
        <f t="shared" ref="I17" si="59">IF(C17&gt;=60, TRUNC(G17*0.03595, -1), 0)</f>
        <v>0</v>
      </c>
      <c r="J17" s="18">
        <f t="shared" ref="J17" si="60">TRUNC(I17*0.1314, -1)</f>
        <v>0</v>
      </c>
      <c r="K17" s="18">
        <f t="shared" ref="K17" si="61">IF(C17&gt;=60, TRUNC(G17*0.009, -1), 0)</f>
        <v>0</v>
      </c>
      <c r="L17" s="18">
        <f t="shared" ref="L17" si="62">SUM(H17:K17)</f>
        <v>0</v>
      </c>
      <c r="M17" s="18">
        <f t="shared" ref="M17" si="63">G17-L17</f>
        <v>0</v>
      </c>
    </row>
    <row r="18" spans="1:13" x14ac:dyDescent="0.3">
      <c r="A18" s="142" t="s">
        <v>62</v>
      </c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4">
        <f>SUM(L4:L17)</f>
        <v>0</v>
      </c>
      <c r="M18" s="144">
        <f>SUM(M4:M17)</f>
        <v>0</v>
      </c>
    </row>
    <row r="19" spans="1:13" x14ac:dyDescent="0.3">
      <c r="A19" s="143"/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5"/>
      <c r="M19" s="145"/>
    </row>
  </sheetData>
  <mergeCells count="6">
    <mergeCell ref="C2:E2"/>
    <mergeCell ref="A2:B2"/>
    <mergeCell ref="A1:M1"/>
    <mergeCell ref="A18:K19"/>
    <mergeCell ref="L18:L19"/>
    <mergeCell ref="M18:M19"/>
  </mergeCells>
  <phoneticPr fontId="2" type="noConversion"/>
  <printOptions horizontalCentered="1" verticalCentered="1"/>
  <pageMargins left="0.39370078740157483" right="0.39370078740157483" top="0.59055118110236227" bottom="0.39370078740157483" header="0" footer="0"/>
  <pageSetup paperSize="9" scale="78" orientation="landscape" verticalDpi="0" r:id="rId1"/>
  <rowBreaks count="1" manualBreakCount="1">
    <brk id="10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"/>
  <sheetViews>
    <sheetView zoomScale="90" zoomScaleNormal="90" zoomScaleSheetLayoutView="115" workbookViewId="0">
      <selection activeCell="H5" sqref="H5"/>
    </sheetView>
  </sheetViews>
  <sheetFormatPr defaultRowHeight="13.5" x14ac:dyDescent="0.15"/>
  <cols>
    <col min="1" max="4" width="12.625" style="22" customWidth="1"/>
    <col min="5" max="5" width="1.5" style="22" customWidth="1"/>
    <col min="6" max="9" width="12.625" style="22" customWidth="1"/>
    <col min="10" max="10" width="1.5" style="22" customWidth="1"/>
    <col min="11" max="14" width="12.625" style="22" customWidth="1"/>
    <col min="15" max="15" width="1.5" style="22" customWidth="1"/>
    <col min="16" max="19" width="12.625" style="22" customWidth="1"/>
    <col min="20" max="20" width="1.5" style="22" customWidth="1"/>
    <col min="21" max="24" width="12.625" style="22" customWidth="1"/>
    <col min="25" max="275" width="9" style="22"/>
    <col min="276" max="276" width="20.625" style="22" customWidth="1"/>
    <col min="277" max="277" width="15.625" style="22" customWidth="1"/>
    <col min="278" max="278" width="20.625" style="22" customWidth="1"/>
    <col min="279" max="279" width="15.625" style="22" customWidth="1"/>
    <col min="280" max="531" width="9" style="22"/>
    <col min="532" max="532" width="20.625" style="22" customWidth="1"/>
    <col min="533" max="533" width="15.625" style="22" customWidth="1"/>
    <col min="534" max="534" width="20.625" style="22" customWidth="1"/>
    <col min="535" max="535" width="15.625" style="22" customWidth="1"/>
    <col min="536" max="787" width="9" style="22"/>
    <col min="788" max="788" width="20.625" style="22" customWidth="1"/>
    <col min="789" max="789" width="15.625" style="22" customWidth="1"/>
    <col min="790" max="790" width="20.625" style="22" customWidth="1"/>
    <col min="791" max="791" width="15.625" style="22" customWidth="1"/>
    <col min="792" max="1043" width="9" style="22"/>
    <col min="1044" max="1044" width="20.625" style="22" customWidth="1"/>
    <col min="1045" max="1045" width="15.625" style="22" customWidth="1"/>
    <col min="1046" max="1046" width="20.625" style="22" customWidth="1"/>
    <col min="1047" max="1047" width="15.625" style="22" customWidth="1"/>
    <col min="1048" max="1299" width="9" style="22"/>
    <col min="1300" max="1300" width="20.625" style="22" customWidth="1"/>
    <col min="1301" max="1301" width="15.625" style="22" customWidth="1"/>
    <col min="1302" max="1302" width="20.625" style="22" customWidth="1"/>
    <col min="1303" max="1303" width="15.625" style="22" customWidth="1"/>
    <col min="1304" max="1555" width="9" style="22"/>
    <col min="1556" max="1556" width="20.625" style="22" customWidth="1"/>
    <col min="1557" max="1557" width="15.625" style="22" customWidth="1"/>
    <col min="1558" max="1558" width="20.625" style="22" customWidth="1"/>
    <col min="1559" max="1559" width="15.625" style="22" customWidth="1"/>
    <col min="1560" max="1811" width="9" style="22"/>
    <col min="1812" max="1812" width="20.625" style="22" customWidth="1"/>
    <col min="1813" max="1813" width="15.625" style="22" customWidth="1"/>
    <col min="1814" max="1814" width="20.625" style="22" customWidth="1"/>
    <col min="1815" max="1815" width="15.625" style="22" customWidth="1"/>
    <col min="1816" max="2067" width="9" style="22"/>
    <col min="2068" max="2068" width="20.625" style="22" customWidth="1"/>
    <col min="2069" max="2069" width="15.625" style="22" customWidth="1"/>
    <col min="2070" max="2070" width="20.625" style="22" customWidth="1"/>
    <col min="2071" max="2071" width="15.625" style="22" customWidth="1"/>
    <col min="2072" max="2323" width="9" style="22"/>
    <col min="2324" max="2324" width="20.625" style="22" customWidth="1"/>
    <col min="2325" max="2325" width="15.625" style="22" customWidth="1"/>
    <col min="2326" max="2326" width="20.625" style="22" customWidth="1"/>
    <col min="2327" max="2327" width="15.625" style="22" customWidth="1"/>
    <col min="2328" max="2579" width="9" style="22"/>
    <col min="2580" max="2580" width="20.625" style="22" customWidth="1"/>
    <col min="2581" max="2581" width="15.625" style="22" customWidth="1"/>
    <col min="2582" max="2582" width="20.625" style="22" customWidth="1"/>
    <col min="2583" max="2583" width="15.625" style="22" customWidth="1"/>
    <col min="2584" max="2835" width="9" style="22"/>
    <col min="2836" max="2836" width="20.625" style="22" customWidth="1"/>
    <col min="2837" max="2837" width="15.625" style="22" customWidth="1"/>
    <col min="2838" max="2838" width="20.625" style="22" customWidth="1"/>
    <col min="2839" max="2839" width="15.625" style="22" customWidth="1"/>
    <col min="2840" max="3091" width="9" style="22"/>
    <col min="3092" max="3092" width="20.625" style="22" customWidth="1"/>
    <col min="3093" max="3093" width="15.625" style="22" customWidth="1"/>
    <col min="3094" max="3094" width="20.625" style="22" customWidth="1"/>
    <col min="3095" max="3095" width="15.625" style="22" customWidth="1"/>
    <col min="3096" max="3347" width="9" style="22"/>
    <col min="3348" max="3348" width="20.625" style="22" customWidth="1"/>
    <col min="3349" max="3349" width="15.625" style="22" customWidth="1"/>
    <col min="3350" max="3350" width="20.625" style="22" customWidth="1"/>
    <col min="3351" max="3351" width="15.625" style="22" customWidth="1"/>
    <col min="3352" max="3603" width="9" style="22"/>
    <col min="3604" max="3604" width="20.625" style="22" customWidth="1"/>
    <col min="3605" max="3605" width="15.625" style="22" customWidth="1"/>
    <col min="3606" max="3606" width="20.625" style="22" customWidth="1"/>
    <col min="3607" max="3607" width="15.625" style="22" customWidth="1"/>
    <col min="3608" max="3859" width="9" style="22"/>
    <col min="3860" max="3860" width="20.625" style="22" customWidth="1"/>
    <col min="3861" max="3861" width="15.625" style="22" customWidth="1"/>
    <col min="3862" max="3862" width="20.625" style="22" customWidth="1"/>
    <col min="3863" max="3863" width="15.625" style="22" customWidth="1"/>
    <col min="3864" max="4115" width="9" style="22"/>
    <col min="4116" max="4116" width="20.625" style="22" customWidth="1"/>
    <col min="4117" max="4117" width="15.625" style="22" customWidth="1"/>
    <col min="4118" max="4118" width="20.625" style="22" customWidth="1"/>
    <col min="4119" max="4119" width="15.625" style="22" customWidth="1"/>
    <col min="4120" max="4371" width="9" style="22"/>
    <col min="4372" max="4372" width="20.625" style="22" customWidth="1"/>
    <col min="4373" max="4373" width="15.625" style="22" customWidth="1"/>
    <col min="4374" max="4374" width="20.625" style="22" customWidth="1"/>
    <col min="4375" max="4375" width="15.625" style="22" customWidth="1"/>
    <col min="4376" max="4627" width="9" style="22"/>
    <col min="4628" max="4628" width="20.625" style="22" customWidth="1"/>
    <col min="4629" max="4629" width="15.625" style="22" customWidth="1"/>
    <col min="4630" max="4630" width="20.625" style="22" customWidth="1"/>
    <col min="4631" max="4631" width="15.625" style="22" customWidth="1"/>
    <col min="4632" max="4883" width="9" style="22"/>
    <col min="4884" max="4884" width="20.625" style="22" customWidth="1"/>
    <col min="4885" max="4885" width="15.625" style="22" customWidth="1"/>
    <col min="4886" max="4886" width="20.625" style="22" customWidth="1"/>
    <col min="4887" max="4887" width="15.625" style="22" customWidth="1"/>
    <col min="4888" max="5139" width="9" style="22"/>
    <col min="5140" max="5140" width="20.625" style="22" customWidth="1"/>
    <col min="5141" max="5141" width="15.625" style="22" customWidth="1"/>
    <col min="5142" max="5142" width="20.625" style="22" customWidth="1"/>
    <col min="5143" max="5143" width="15.625" style="22" customWidth="1"/>
    <col min="5144" max="5395" width="9" style="22"/>
    <col min="5396" max="5396" width="20.625" style="22" customWidth="1"/>
    <col min="5397" max="5397" width="15.625" style="22" customWidth="1"/>
    <col min="5398" max="5398" width="20.625" style="22" customWidth="1"/>
    <col min="5399" max="5399" width="15.625" style="22" customWidth="1"/>
    <col min="5400" max="5651" width="9" style="22"/>
    <col min="5652" max="5652" width="20.625" style="22" customWidth="1"/>
    <col min="5653" max="5653" width="15.625" style="22" customWidth="1"/>
    <col min="5654" max="5654" width="20.625" style="22" customWidth="1"/>
    <col min="5655" max="5655" width="15.625" style="22" customWidth="1"/>
    <col min="5656" max="5907" width="9" style="22"/>
    <col min="5908" max="5908" width="20.625" style="22" customWidth="1"/>
    <col min="5909" max="5909" width="15.625" style="22" customWidth="1"/>
    <col min="5910" max="5910" width="20.625" style="22" customWidth="1"/>
    <col min="5911" max="5911" width="15.625" style="22" customWidth="1"/>
    <col min="5912" max="6163" width="9" style="22"/>
    <col min="6164" max="6164" width="20.625" style="22" customWidth="1"/>
    <col min="6165" max="6165" width="15.625" style="22" customWidth="1"/>
    <col min="6166" max="6166" width="20.625" style="22" customWidth="1"/>
    <col min="6167" max="6167" width="15.625" style="22" customWidth="1"/>
    <col min="6168" max="6419" width="9" style="22"/>
    <col min="6420" max="6420" width="20.625" style="22" customWidth="1"/>
    <col min="6421" max="6421" width="15.625" style="22" customWidth="1"/>
    <col min="6422" max="6422" width="20.625" style="22" customWidth="1"/>
    <col min="6423" max="6423" width="15.625" style="22" customWidth="1"/>
    <col min="6424" max="6675" width="9" style="22"/>
    <col min="6676" max="6676" width="20.625" style="22" customWidth="1"/>
    <col min="6677" max="6677" width="15.625" style="22" customWidth="1"/>
    <col min="6678" max="6678" width="20.625" style="22" customWidth="1"/>
    <col min="6679" max="6679" width="15.625" style="22" customWidth="1"/>
    <col min="6680" max="6931" width="9" style="22"/>
    <col min="6932" max="6932" width="20.625" style="22" customWidth="1"/>
    <col min="6933" max="6933" width="15.625" style="22" customWidth="1"/>
    <col min="6934" max="6934" width="20.625" style="22" customWidth="1"/>
    <col min="6935" max="6935" width="15.625" style="22" customWidth="1"/>
    <col min="6936" max="7187" width="9" style="22"/>
    <col min="7188" max="7188" width="20.625" style="22" customWidth="1"/>
    <col min="7189" max="7189" width="15.625" style="22" customWidth="1"/>
    <col min="7190" max="7190" width="20.625" style="22" customWidth="1"/>
    <col min="7191" max="7191" width="15.625" style="22" customWidth="1"/>
    <col min="7192" max="7443" width="9" style="22"/>
    <col min="7444" max="7444" width="20.625" style="22" customWidth="1"/>
    <col min="7445" max="7445" width="15.625" style="22" customWidth="1"/>
    <col min="7446" max="7446" width="20.625" style="22" customWidth="1"/>
    <col min="7447" max="7447" width="15.625" style="22" customWidth="1"/>
    <col min="7448" max="7699" width="9" style="22"/>
    <col min="7700" max="7700" width="20.625" style="22" customWidth="1"/>
    <col min="7701" max="7701" width="15.625" style="22" customWidth="1"/>
    <col min="7702" max="7702" width="20.625" style="22" customWidth="1"/>
    <col min="7703" max="7703" width="15.625" style="22" customWidth="1"/>
    <col min="7704" max="7955" width="9" style="22"/>
    <col min="7956" max="7956" width="20.625" style="22" customWidth="1"/>
    <col min="7957" max="7957" width="15.625" style="22" customWidth="1"/>
    <col min="7958" max="7958" width="20.625" style="22" customWidth="1"/>
    <col min="7959" max="7959" width="15.625" style="22" customWidth="1"/>
    <col min="7960" max="8211" width="9" style="22"/>
    <col min="8212" max="8212" width="20.625" style="22" customWidth="1"/>
    <col min="8213" max="8213" width="15.625" style="22" customWidth="1"/>
    <col min="8214" max="8214" width="20.625" style="22" customWidth="1"/>
    <col min="8215" max="8215" width="15.625" style="22" customWidth="1"/>
    <col min="8216" max="8467" width="9" style="22"/>
    <col min="8468" max="8468" width="20.625" style="22" customWidth="1"/>
    <col min="8469" max="8469" width="15.625" style="22" customWidth="1"/>
    <col min="8470" max="8470" width="20.625" style="22" customWidth="1"/>
    <col min="8471" max="8471" width="15.625" style="22" customWidth="1"/>
    <col min="8472" max="8723" width="9" style="22"/>
    <col min="8724" max="8724" width="20.625" style="22" customWidth="1"/>
    <col min="8725" max="8725" width="15.625" style="22" customWidth="1"/>
    <col min="8726" max="8726" width="20.625" style="22" customWidth="1"/>
    <col min="8727" max="8727" width="15.625" style="22" customWidth="1"/>
    <col min="8728" max="8979" width="9" style="22"/>
    <col min="8980" max="8980" width="20.625" style="22" customWidth="1"/>
    <col min="8981" max="8981" width="15.625" style="22" customWidth="1"/>
    <col min="8982" max="8982" width="20.625" style="22" customWidth="1"/>
    <col min="8983" max="8983" width="15.625" style="22" customWidth="1"/>
    <col min="8984" max="9235" width="9" style="22"/>
    <col min="9236" max="9236" width="20.625" style="22" customWidth="1"/>
    <col min="9237" max="9237" width="15.625" style="22" customWidth="1"/>
    <col min="9238" max="9238" width="20.625" style="22" customWidth="1"/>
    <col min="9239" max="9239" width="15.625" style="22" customWidth="1"/>
    <col min="9240" max="9491" width="9" style="22"/>
    <col min="9492" max="9492" width="20.625" style="22" customWidth="1"/>
    <col min="9493" max="9493" width="15.625" style="22" customWidth="1"/>
    <col min="9494" max="9494" width="20.625" style="22" customWidth="1"/>
    <col min="9495" max="9495" width="15.625" style="22" customWidth="1"/>
    <col min="9496" max="9747" width="9" style="22"/>
    <col min="9748" max="9748" width="20.625" style="22" customWidth="1"/>
    <col min="9749" max="9749" width="15.625" style="22" customWidth="1"/>
    <col min="9750" max="9750" width="20.625" style="22" customWidth="1"/>
    <col min="9751" max="9751" width="15.625" style="22" customWidth="1"/>
    <col min="9752" max="10003" width="9" style="22"/>
    <col min="10004" max="10004" width="20.625" style="22" customWidth="1"/>
    <col min="10005" max="10005" width="15.625" style="22" customWidth="1"/>
    <col min="10006" max="10006" width="20.625" style="22" customWidth="1"/>
    <col min="10007" max="10007" width="15.625" style="22" customWidth="1"/>
    <col min="10008" max="10259" width="9" style="22"/>
    <col min="10260" max="10260" width="20.625" style="22" customWidth="1"/>
    <col min="10261" max="10261" width="15.625" style="22" customWidth="1"/>
    <col min="10262" max="10262" width="20.625" style="22" customWidth="1"/>
    <col min="10263" max="10263" width="15.625" style="22" customWidth="1"/>
    <col min="10264" max="10515" width="9" style="22"/>
    <col min="10516" max="10516" width="20.625" style="22" customWidth="1"/>
    <col min="10517" max="10517" width="15.625" style="22" customWidth="1"/>
    <col min="10518" max="10518" width="20.625" style="22" customWidth="1"/>
    <col min="10519" max="10519" width="15.625" style="22" customWidth="1"/>
    <col min="10520" max="10771" width="9" style="22"/>
    <col min="10772" max="10772" width="20.625" style="22" customWidth="1"/>
    <col min="10773" max="10773" width="15.625" style="22" customWidth="1"/>
    <col min="10774" max="10774" width="20.625" style="22" customWidth="1"/>
    <col min="10775" max="10775" width="15.625" style="22" customWidth="1"/>
    <col min="10776" max="11027" width="9" style="22"/>
    <col min="11028" max="11028" width="20.625" style="22" customWidth="1"/>
    <col min="11029" max="11029" width="15.625" style="22" customWidth="1"/>
    <col min="11030" max="11030" width="20.625" style="22" customWidth="1"/>
    <col min="11031" max="11031" width="15.625" style="22" customWidth="1"/>
    <col min="11032" max="11283" width="9" style="22"/>
    <col min="11284" max="11284" width="20.625" style="22" customWidth="1"/>
    <col min="11285" max="11285" width="15.625" style="22" customWidth="1"/>
    <col min="11286" max="11286" width="20.625" style="22" customWidth="1"/>
    <col min="11287" max="11287" width="15.625" style="22" customWidth="1"/>
    <col min="11288" max="11539" width="9" style="22"/>
    <col min="11540" max="11540" width="20.625" style="22" customWidth="1"/>
    <col min="11541" max="11541" width="15.625" style="22" customWidth="1"/>
    <col min="11542" max="11542" width="20.625" style="22" customWidth="1"/>
    <col min="11543" max="11543" width="15.625" style="22" customWidth="1"/>
    <col min="11544" max="11795" width="9" style="22"/>
    <col min="11796" max="11796" width="20.625" style="22" customWidth="1"/>
    <col min="11797" max="11797" width="15.625" style="22" customWidth="1"/>
    <col min="11798" max="11798" width="20.625" style="22" customWidth="1"/>
    <col min="11799" max="11799" width="15.625" style="22" customWidth="1"/>
    <col min="11800" max="12051" width="9" style="22"/>
    <col min="12052" max="12052" width="20.625" style="22" customWidth="1"/>
    <col min="12053" max="12053" width="15.625" style="22" customWidth="1"/>
    <col min="12054" max="12054" width="20.625" style="22" customWidth="1"/>
    <col min="12055" max="12055" width="15.625" style="22" customWidth="1"/>
    <col min="12056" max="12307" width="9" style="22"/>
    <col min="12308" max="12308" width="20.625" style="22" customWidth="1"/>
    <col min="12309" max="12309" width="15.625" style="22" customWidth="1"/>
    <col min="12310" max="12310" width="20.625" style="22" customWidth="1"/>
    <col min="12311" max="12311" width="15.625" style="22" customWidth="1"/>
    <col min="12312" max="12563" width="9" style="22"/>
    <col min="12564" max="12564" width="20.625" style="22" customWidth="1"/>
    <col min="12565" max="12565" width="15.625" style="22" customWidth="1"/>
    <col min="12566" max="12566" width="20.625" style="22" customWidth="1"/>
    <col min="12567" max="12567" width="15.625" style="22" customWidth="1"/>
    <col min="12568" max="12819" width="9" style="22"/>
    <col min="12820" max="12820" width="20.625" style="22" customWidth="1"/>
    <col min="12821" max="12821" width="15.625" style="22" customWidth="1"/>
    <col min="12822" max="12822" width="20.625" style="22" customWidth="1"/>
    <col min="12823" max="12823" width="15.625" style="22" customWidth="1"/>
    <col min="12824" max="13075" width="9" style="22"/>
    <col min="13076" max="13076" width="20.625" style="22" customWidth="1"/>
    <col min="13077" max="13077" width="15.625" style="22" customWidth="1"/>
    <col min="13078" max="13078" width="20.625" style="22" customWidth="1"/>
    <col min="13079" max="13079" width="15.625" style="22" customWidth="1"/>
    <col min="13080" max="13331" width="9" style="22"/>
    <col min="13332" max="13332" width="20.625" style="22" customWidth="1"/>
    <col min="13333" max="13333" width="15.625" style="22" customWidth="1"/>
    <col min="13334" max="13334" width="20.625" style="22" customWidth="1"/>
    <col min="13335" max="13335" width="15.625" style="22" customWidth="1"/>
    <col min="13336" max="13587" width="9" style="22"/>
    <col min="13588" max="13588" width="20.625" style="22" customWidth="1"/>
    <col min="13589" max="13589" width="15.625" style="22" customWidth="1"/>
    <col min="13590" max="13590" width="20.625" style="22" customWidth="1"/>
    <col min="13591" max="13591" width="15.625" style="22" customWidth="1"/>
    <col min="13592" max="13843" width="9" style="22"/>
    <col min="13844" max="13844" width="20.625" style="22" customWidth="1"/>
    <col min="13845" max="13845" width="15.625" style="22" customWidth="1"/>
    <col min="13846" max="13846" width="20.625" style="22" customWidth="1"/>
    <col min="13847" max="13847" width="15.625" style="22" customWidth="1"/>
    <col min="13848" max="14099" width="9" style="22"/>
    <col min="14100" max="14100" width="20.625" style="22" customWidth="1"/>
    <col min="14101" max="14101" width="15.625" style="22" customWidth="1"/>
    <col min="14102" max="14102" width="20.625" style="22" customWidth="1"/>
    <col min="14103" max="14103" width="15.625" style="22" customWidth="1"/>
    <col min="14104" max="14355" width="9" style="22"/>
    <col min="14356" max="14356" width="20.625" style="22" customWidth="1"/>
    <col min="14357" max="14357" width="15.625" style="22" customWidth="1"/>
    <col min="14358" max="14358" width="20.625" style="22" customWidth="1"/>
    <col min="14359" max="14359" width="15.625" style="22" customWidth="1"/>
    <col min="14360" max="14611" width="9" style="22"/>
    <col min="14612" max="14612" width="20.625" style="22" customWidth="1"/>
    <col min="14613" max="14613" width="15.625" style="22" customWidth="1"/>
    <col min="14614" max="14614" width="20.625" style="22" customWidth="1"/>
    <col min="14615" max="14615" width="15.625" style="22" customWidth="1"/>
    <col min="14616" max="14867" width="9" style="22"/>
    <col min="14868" max="14868" width="20.625" style="22" customWidth="1"/>
    <col min="14869" max="14869" width="15.625" style="22" customWidth="1"/>
    <col min="14870" max="14870" width="20.625" style="22" customWidth="1"/>
    <col min="14871" max="14871" width="15.625" style="22" customWidth="1"/>
    <col min="14872" max="15123" width="9" style="22"/>
    <col min="15124" max="15124" width="20.625" style="22" customWidth="1"/>
    <col min="15125" max="15125" width="15.625" style="22" customWidth="1"/>
    <col min="15126" max="15126" width="20.625" style="22" customWidth="1"/>
    <col min="15127" max="15127" width="15.625" style="22" customWidth="1"/>
    <col min="15128" max="15379" width="9" style="22"/>
    <col min="15380" max="15380" width="20.625" style="22" customWidth="1"/>
    <col min="15381" max="15381" width="15.625" style="22" customWidth="1"/>
    <col min="15382" max="15382" width="20.625" style="22" customWidth="1"/>
    <col min="15383" max="15383" width="15.625" style="22" customWidth="1"/>
    <col min="15384" max="15635" width="9" style="22"/>
    <col min="15636" max="15636" width="20.625" style="22" customWidth="1"/>
    <col min="15637" max="15637" width="15.625" style="22" customWidth="1"/>
    <col min="15638" max="15638" width="20.625" style="22" customWidth="1"/>
    <col min="15639" max="15639" width="15.625" style="22" customWidth="1"/>
    <col min="15640" max="15891" width="9" style="22"/>
    <col min="15892" max="15892" width="20.625" style="22" customWidth="1"/>
    <col min="15893" max="15893" width="15.625" style="22" customWidth="1"/>
    <col min="15894" max="15894" width="20.625" style="22" customWidth="1"/>
    <col min="15895" max="15895" width="15.625" style="22" customWidth="1"/>
    <col min="15896" max="16147" width="9" style="22"/>
    <col min="16148" max="16148" width="20.625" style="22" customWidth="1"/>
    <col min="16149" max="16149" width="15.625" style="22" customWidth="1"/>
    <col min="16150" max="16150" width="20.625" style="22" customWidth="1"/>
    <col min="16151" max="16151" width="15.625" style="22" customWidth="1"/>
    <col min="16152" max="16384" width="9" style="22"/>
  </cols>
  <sheetData>
    <row r="1" spans="1:24" ht="30" customHeight="1" x14ac:dyDescent="0.15">
      <c r="A1" s="149" t="s">
        <v>51</v>
      </c>
      <c r="B1" s="150"/>
      <c r="C1" s="150"/>
      <c r="D1" s="151"/>
      <c r="F1" s="149" t="s">
        <v>51</v>
      </c>
      <c r="G1" s="150"/>
      <c r="H1" s="150"/>
      <c r="I1" s="151"/>
      <c r="K1" s="149" t="s">
        <v>51</v>
      </c>
      <c r="L1" s="150"/>
      <c r="M1" s="150"/>
      <c r="N1" s="151"/>
      <c r="P1" s="149" t="s">
        <v>51</v>
      </c>
      <c r="Q1" s="150"/>
      <c r="R1" s="150"/>
      <c r="S1" s="151"/>
      <c r="U1" s="149" t="s">
        <v>51</v>
      </c>
      <c r="V1" s="150"/>
      <c r="W1" s="150"/>
      <c r="X1" s="151"/>
    </row>
    <row r="2" spans="1:24" ht="30" customHeight="1" x14ac:dyDescent="0.15">
      <c r="A2" s="23" t="s">
        <v>35</v>
      </c>
      <c r="B2" s="24" t="str">
        <f>급여대장!B4</f>
        <v>김도윤</v>
      </c>
      <c r="C2" s="25" t="s">
        <v>36</v>
      </c>
      <c r="D2" s="26">
        <f>'근무표(입력)'!A30+1</f>
        <v>46082</v>
      </c>
      <c r="F2" s="23" t="s">
        <v>35</v>
      </c>
      <c r="G2" s="24" t="str">
        <f>급여대장!B5</f>
        <v>김지수</v>
      </c>
      <c r="H2" s="25" t="s">
        <v>36</v>
      </c>
      <c r="I2" s="26">
        <f>D2</f>
        <v>46082</v>
      </c>
      <c r="K2" s="23" t="s">
        <v>35</v>
      </c>
      <c r="L2" s="24" t="str">
        <f>급여대장!B6</f>
        <v>김현호</v>
      </c>
      <c r="M2" s="25" t="s">
        <v>36</v>
      </c>
      <c r="N2" s="26">
        <f>D2</f>
        <v>46082</v>
      </c>
      <c r="P2" s="23" t="s">
        <v>35</v>
      </c>
      <c r="Q2" s="24" t="str">
        <f>급여대장!B7</f>
        <v>송채민</v>
      </c>
      <c r="R2" s="25" t="s">
        <v>36</v>
      </c>
      <c r="S2" s="26">
        <f>D2</f>
        <v>46082</v>
      </c>
      <c r="U2" s="23" t="s">
        <v>35</v>
      </c>
      <c r="V2" s="24" t="str">
        <f>급여대장!B8</f>
        <v>이예은</v>
      </c>
      <c r="W2" s="25" t="s">
        <v>36</v>
      </c>
      <c r="X2" s="26">
        <f>D2</f>
        <v>46082</v>
      </c>
    </row>
    <row r="3" spans="1:24" ht="30" customHeight="1" x14ac:dyDescent="0.15">
      <c r="A3" s="23" t="s">
        <v>37</v>
      </c>
      <c r="B3" s="24" t="s">
        <v>38</v>
      </c>
      <c r="C3" s="25" t="s">
        <v>52</v>
      </c>
      <c r="D3" s="27"/>
      <c r="F3" s="23" t="s">
        <v>37</v>
      </c>
      <c r="G3" s="24" t="s">
        <v>38</v>
      </c>
      <c r="H3" s="25" t="s">
        <v>52</v>
      </c>
      <c r="I3" s="27"/>
      <c r="K3" s="23" t="s">
        <v>37</v>
      </c>
      <c r="L3" s="24" t="s">
        <v>38</v>
      </c>
      <c r="M3" s="25" t="s">
        <v>52</v>
      </c>
      <c r="N3" s="27"/>
      <c r="P3" s="23" t="s">
        <v>37</v>
      </c>
      <c r="Q3" s="24" t="s">
        <v>38</v>
      </c>
      <c r="R3" s="25" t="s">
        <v>52</v>
      </c>
      <c r="S3" s="27"/>
      <c r="U3" s="23" t="s">
        <v>37</v>
      </c>
      <c r="V3" s="24" t="s">
        <v>38</v>
      </c>
      <c r="W3" s="25" t="s">
        <v>52</v>
      </c>
      <c r="X3" s="27"/>
    </row>
    <row r="4" spans="1:24" ht="30" customHeight="1" x14ac:dyDescent="0.15">
      <c r="A4" s="28"/>
      <c r="B4" s="29"/>
      <c r="D4" s="30"/>
      <c r="F4" s="28"/>
      <c r="G4" s="29"/>
      <c r="I4" s="30"/>
      <c r="K4" s="28"/>
      <c r="L4" s="29"/>
      <c r="N4" s="30"/>
      <c r="P4" s="28"/>
      <c r="Q4" s="29"/>
      <c r="S4" s="30"/>
      <c r="U4" s="28"/>
      <c r="V4" s="29"/>
      <c r="X4" s="30"/>
    </row>
    <row r="5" spans="1:24" ht="30" customHeight="1" x14ac:dyDescent="0.15">
      <c r="A5" s="31" t="s">
        <v>39</v>
      </c>
      <c r="B5" s="24"/>
      <c r="C5" s="24" t="s">
        <v>40</v>
      </c>
      <c r="D5" s="27"/>
      <c r="F5" s="31" t="s">
        <v>39</v>
      </c>
      <c r="G5" s="24"/>
      <c r="H5" s="24" t="s">
        <v>40</v>
      </c>
      <c r="I5" s="27"/>
      <c r="K5" s="31" t="s">
        <v>39</v>
      </c>
      <c r="L5" s="24"/>
      <c r="M5" s="24" t="s">
        <v>40</v>
      </c>
      <c r="N5" s="27"/>
      <c r="P5" s="31" t="s">
        <v>39</v>
      </c>
      <c r="Q5" s="24"/>
      <c r="R5" s="24" t="s">
        <v>40</v>
      </c>
      <c r="S5" s="27"/>
      <c r="U5" s="31" t="s">
        <v>39</v>
      </c>
      <c r="V5" s="24"/>
      <c r="W5" s="24" t="s">
        <v>40</v>
      </c>
      <c r="X5" s="27"/>
    </row>
    <row r="6" spans="1:24" ht="30" customHeight="1" x14ac:dyDescent="0.15">
      <c r="A6" s="23" t="s">
        <v>41</v>
      </c>
      <c r="B6" s="32">
        <f>급여대장!E4</f>
        <v>0</v>
      </c>
      <c r="C6" s="25" t="s">
        <v>42</v>
      </c>
      <c r="D6" s="33">
        <f>급여대장!H4</f>
        <v>0</v>
      </c>
      <c r="F6" s="23" t="s">
        <v>41</v>
      </c>
      <c r="G6" s="32">
        <f>급여대장!E5</f>
        <v>0</v>
      </c>
      <c r="H6" s="25" t="s">
        <v>42</v>
      </c>
      <c r="I6" s="33">
        <f>급여대장!H5</f>
        <v>0</v>
      </c>
      <c r="K6" s="23" t="s">
        <v>41</v>
      </c>
      <c r="L6" s="32">
        <f>급여대장!E6</f>
        <v>0</v>
      </c>
      <c r="M6" s="25" t="s">
        <v>42</v>
      </c>
      <c r="N6" s="33">
        <f>급여대장!H6</f>
        <v>0</v>
      </c>
      <c r="P6" s="23" t="s">
        <v>41</v>
      </c>
      <c r="Q6" s="32">
        <f>급여대장!E7</f>
        <v>0</v>
      </c>
      <c r="R6" s="25" t="s">
        <v>42</v>
      </c>
      <c r="S6" s="33">
        <f>급여대장!H7</f>
        <v>0</v>
      </c>
      <c r="U6" s="23" t="s">
        <v>41</v>
      </c>
      <c r="V6" s="32">
        <f>급여대장!E8</f>
        <v>0</v>
      </c>
      <c r="W6" s="25" t="s">
        <v>42</v>
      </c>
      <c r="X6" s="33">
        <f>급여대장!H8</f>
        <v>0</v>
      </c>
    </row>
    <row r="7" spans="1:24" ht="30" customHeight="1" x14ac:dyDescent="0.15">
      <c r="A7" s="23" t="s">
        <v>43</v>
      </c>
      <c r="B7" s="32">
        <f>급여대장!F4</f>
        <v>0</v>
      </c>
      <c r="C7" s="25" t="s">
        <v>44</v>
      </c>
      <c r="D7" s="33">
        <f>급여대장!I4</f>
        <v>0</v>
      </c>
      <c r="F7" s="23" t="s">
        <v>43</v>
      </c>
      <c r="G7" s="32">
        <f>급여대장!F5</f>
        <v>0</v>
      </c>
      <c r="H7" s="25" t="s">
        <v>44</v>
      </c>
      <c r="I7" s="33">
        <f>급여대장!I5</f>
        <v>0</v>
      </c>
      <c r="K7" s="23" t="s">
        <v>43</v>
      </c>
      <c r="L7" s="32">
        <f>급여대장!F6</f>
        <v>0</v>
      </c>
      <c r="M7" s="25" t="s">
        <v>44</v>
      </c>
      <c r="N7" s="33">
        <f>급여대장!I6</f>
        <v>0</v>
      </c>
      <c r="P7" s="23" t="s">
        <v>43</v>
      </c>
      <c r="Q7" s="32">
        <f>급여대장!F7</f>
        <v>0</v>
      </c>
      <c r="R7" s="25" t="s">
        <v>44</v>
      </c>
      <c r="S7" s="33">
        <f>급여대장!I7</f>
        <v>0</v>
      </c>
      <c r="U7" s="23" t="s">
        <v>43</v>
      </c>
      <c r="V7" s="32">
        <f>급여대장!F8</f>
        <v>0</v>
      </c>
      <c r="W7" s="25" t="s">
        <v>44</v>
      </c>
      <c r="X7" s="33">
        <f>급여대장!I8</f>
        <v>0</v>
      </c>
    </row>
    <row r="8" spans="1:24" ht="30" customHeight="1" x14ac:dyDescent="0.15">
      <c r="A8" s="23" t="s">
        <v>45</v>
      </c>
      <c r="B8" s="24"/>
      <c r="C8" s="25" t="s">
        <v>46</v>
      </c>
      <c r="D8" s="33">
        <f>급여대장!J4</f>
        <v>0</v>
      </c>
      <c r="F8" s="23" t="s">
        <v>45</v>
      </c>
      <c r="G8" s="24"/>
      <c r="H8" s="25" t="s">
        <v>46</v>
      </c>
      <c r="I8" s="33">
        <f>급여대장!J5</f>
        <v>0</v>
      </c>
      <c r="K8" s="23" t="s">
        <v>45</v>
      </c>
      <c r="L8" s="24"/>
      <c r="M8" s="25" t="s">
        <v>46</v>
      </c>
      <c r="N8" s="33">
        <f>급여대장!J6</f>
        <v>0</v>
      </c>
      <c r="P8" s="23" t="s">
        <v>45</v>
      </c>
      <c r="Q8" s="24"/>
      <c r="R8" s="25" t="s">
        <v>46</v>
      </c>
      <c r="S8" s="33">
        <f>급여대장!J7</f>
        <v>0</v>
      </c>
      <c r="U8" s="23" t="s">
        <v>45</v>
      </c>
      <c r="V8" s="24"/>
      <c r="W8" s="25" t="s">
        <v>46</v>
      </c>
      <c r="X8" s="33">
        <f>급여대장!J8</f>
        <v>0</v>
      </c>
    </row>
    <row r="9" spans="1:24" ht="30" customHeight="1" x14ac:dyDescent="0.15">
      <c r="A9" s="31"/>
      <c r="B9" s="24"/>
      <c r="C9" s="25" t="s">
        <v>47</v>
      </c>
      <c r="D9" s="33">
        <f>급여대장!K4</f>
        <v>0</v>
      </c>
      <c r="F9" s="31"/>
      <c r="G9" s="24"/>
      <c r="H9" s="25" t="s">
        <v>47</v>
      </c>
      <c r="I9" s="33">
        <f>급여대장!K5</f>
        <v>0</v>
      </c>
      <c r="K9" s="31"/>
      <c r="L9" s="24"/>
      <c r="M9" s="25" t="s">
        <v>47</v>
      </c>
      <c r="N9" s="33">
        <f>급여대장!K6</f>
        <v>0</v>
      </c>
      <c r="P9" s="31"/>
      <c r="Q9" s="24"/>
      <c r="R9" s="25" t="s">
        <v>47</v>
      </c>
      <c r="S9" s="33">
        <f>급여대장!K7</f>
        <v>0</v>
      </c>
      <c r="U9" s="31"/>
      <c r="V9" s="24"/>
      <c r="W9" s="25" t="s">
        <v>47</v>
      </c>
      <c r="X9" s="33">
        <f>급여대장!K8</f>
        <v>0</v>
      </c>
    </row>
    <row r="10" spans="1:24" ht="30" customHeight="1" x14ac:dyDescent="0.15">
      <c r="A10" s="23" t="s">
        <v>48</v>
      </c>
      <c r="B10" s="32">
        <f>급여대장!G4</f>
        <v>0</v>
      </c>
      <c r="C10" s="25" t="s">
        <v>49</v>
      </c>
      <c r="D10" s="33">
        <f>급여대장!L4</f>
        <v>0</v>
      </c>
      <c r="F10" s="23" t="s">
        <v>48</v>
      </c>
      <c r="G10" s="32">
        <f>급여대장!G5</f>
        <v>0</v>
      </c>
      <c r="H10" s="25" t="s">
        <v>49</v>
      </c>
      <c r="I10" s="33">
        <f>급여대장!L5</f>
        <v>0</v>
      </c>
      <c r="K10" s="23" t="s">
        <v>48</v>
      </c>
      <c r="L10" s="32">
        <f>급여대장!G6</f>
        <v>0</v>
      </c>
      <c r="M10" s="25" t="s">
        <v>49</v>
      </c>
      <c r="N10" s="33">
        <f>급여대장!L6</f>
        <v>0</v>
      </c>
      <c r="P10" s="23" t="s">
        <v>48</v>
      </c>
      <c r="Q10" s="32">
        <f>급여대장!G7</f>
        <v>0</v>
      </c>
      <c r="R10" s="25" t="s">
        <v>49</v>
      </c>
      <c r="S10" s="33">
        <f>급여대장!L7</f>
        <v>0</v>
      </c>
      <c r="U10" s="23" t="s">
        <v>48</v>
      </c>
      <c r="V10" s="32">
        <f>급여대장!G8</f>
        <v>0</v>
      </c>
      <c r="W10" s="25" t="s">
        <v>49</v>
      </c>
      <c r="X10" s="33">
        <f>급여대장!L8</f>
        <v>0</v>
      </c>
    </row>
    <row r="11" spans="1:24" ht="30" customHeight="1" x14ac:dyDescent="0.15">
      <c r="A11" s="31"/>
      <c r="B11" s="24"/>
      <c r="C11" s="24"/>
      <c r="D11" s="33"/>
      <c r="F11" s="31"/>
      <c r="G11" s="24"/>
      <c r="H11" s="24"/>
      <c r="I11" s="33"/>
      <c r="K11" s="31"/>
      <c r="L11" s="24"/>
      <c r="M11" s="24"/>
      <c r="N11" s="33"/>
      <c r="P11" s="31"/>
      <c r="Q11" s="24"/>
      <c r="R11" s="24"/>
      <c r="S11" s="33"/>
      <c r="U11" s="31"/>
      <c r="V11" s="24"/>
      <c r="W11" s="24"/>
      <c r="X11" s="33"/>
    </row>
    <row r="12" spans="1:24" ht="30" customHeight="1" x14ac:dyDescent="0.15">
      <c r="A12" s="31" t="s">
        <v>50</v>
      </c>
      <c r="B12" s="152">
        <f>급여대장!M4</f>
        <v>0</v>
      </c>
      <c r="C12" s="153"/>
      <c r="D12" s="154"/>
      <c r="F12" s="31" t="s">
        <v>50</v>
      </c>
      <c r="G12" s="152">
        <f>급여대장!M5</f>
        <v>0</v>
      </c>
      <c r="H12" s="153"/>
      <c r="I12" s="154"/>
      <c r="K12" s="31" t="s">
        <v>50</v>
      </c>
      <c r="L12" s="152">
        <f>급여대장!M6</f>
        <v>0</v>
      </c>
      <c r="M12" s="153"/>
      <c r="N12" s="154"/>
      <c r="P12" s="31" t="s">
        <v>50</v>
      </c>
      <c r="Q12" s="152">
        <f>급여대장!M7</f>
        <v>0</v>
      </c>
      <c r="R12" s="153"/>
      <c r="S12" s="154"/>
      <c r="U12" s="31" t="s">
        <v>50</v>
      </c>
      <c r="V12" s="152">
        <f>급여대장!M8</f>
        <v>0</v>
      </c>
      <c r="W12" s="153"/>
      <c r="X12" s="154"/>
    </row>
    <row r="13" spans="1:24" ht="30" customHeight="1" x14ac:dyDescent="0.15">
      <c r="A13" s="31"/>
      <c r="B13" s="24"/>
      <c r="C13" s="24"/>
      <c r="D13" s="27"/>
      <c r="F13" s="31"/>
      <c r="G13" s="24"/>
      <c r="H13" s="24"/>
      <c r="I13" s="27"/>
      <c r="K13" s="31"/>
      <c r="L13" s="24"/>
      <c r="M13" s="24"/>
      <c r="N13" s="27"/>
      <c r="P13" s="31"/>
      <c r="Q13" s="24"/>
      <c r="R13" s="24"/>
      <c r="S13" s="27"/>
      <c r="U13" s="31"/>
      <c r="V13" s="24"/>
      <c r="W13" s="24"/>
      <c r="X13" s="27"/>
    </row>
    <row r="14" spans="1:24" ht="30" customHeight="1" thickBot="1" x14ac:dyDescent="0.2">
      <c r="A14" s="146" t="s">
        <v>53</v>
      </c>
      <c r="B14" s="147"/>
      <c r="C14" s="147"/>
      <c r="D14" s="148"/>
      <c r="F14" s="146" t="s">
        <v>54</v>
      </c>
      <c r="G14" s="147"/>
      <c r="H14" s="147"/>
      <c r="I14" s="148"/>
      <c r="K14" s="146" t="s">
        <v>54</v>
      </c>
      <c r="L14" s="147"/>
      <c r="M14" s="147"/>
      <c r="N14" s="148"/>
      <c r="P14" s="146" t="s">
        <v>55</v>
      </c>
      <c r="Q14" s="147"/>
      <c r="R14" s="147"/>
      <c r="S14" s="148"/>
      <c r="U14" s="146" t="s">
        <v>54</v>
      </c>
      <c r="V14" s="147"/>
      <c r="W14" s="147"/>
      <c r="X14" s="148"/>
    </row>
    <row r="16" spans="1:24" ht="14.25" thickBot="1" x14ac:dyDescent="0.2"/>
    <row r="17" spans="1:24" ht="30" customHeight="1" x14ac:dyDescent="0.15">
      <c r="A17" s="149" t="s">
        <v>51</v>
      </c>
      <c r="B17" s="150"/>
      <c r="C17" s="150"/>
      <c r="D17" s="151"/>
      <c r="F17" s="149" t="s">
        <v>51</v>
      </c>
      <c r="G17" s="150"/>
      <c r="H17" s="150"/>
      <c r="I17" s="151"/>
      <c r="K17" s="149" t="s">
        <v>51</v>
      </c>
      <c r="L17" s="150"/>
      <c r="M17" s="150"/>
      <c r="N17" s="151"/>
      <c r="P17" s="149" t="s">
        <v>51</v>
      </c>
      <c r="Q17" s="150"/>
      <c r="R17" s="150"/>
      <c r="S17" s="151"/>
      <c r="U17" s="149" t="s">
        <v>51</v>
      </c>
      <c r="V17" s="150"/>
      <c r="W17" s="150"/>
      <c r="X17" s="151"/>
    </row>
    <row r="18" spans="1:24" ht="30" customHeight="1" x14ac:dyDescent="0.15">
      <c r="A18" s="23" t="s">
        <v>35</v>
      </c>
      <c r="B18" s="24" t="str">
        <f>급여대장!B9</f>
        <v>정가은</v>
      </c>
      <c r="C18" s="25" t="s">
        <v>36</v>
      </c>
      <c r="D18" s="26">
        <f>D2</f>
        <v>46082</v>
      </c>
      <c r="F18" s="23" t="s">
        <v>35</v>
      </c>
      <c r="G18" s="24" t="str">
        <f>급여대장!B10</f>
        <v>황승연</v>
      </c>
      <c r="H18" s="25" t="s">
        <v>36</v>
      </c>
      <c r="I18" s="26">
        <f>D18</f>
        <v>46082</v>
      </c>
      <c r="K18" s="23" t="s">
        <v>35</v>
      </c>
      <c r="L18" s="24">
        <f>급여대장!B11</f>
        <v>0</v>
      </c>
      <c r="M18" s="25" t="s">
        <v>36</v>
      </c>
      <c r="N18" s="26">
        <f>D18</f>
        <v>46082</v>
      </c>
      <c r="P18" s="23" t="s">
        <v>35</v>
      </c>
      <c r="Q18" s="24">
        <f>급여대장!B12</f>
        <v>0</v>
      </c>
      <c r="R18" s="25" t="s">
        <v>36</v>
      </c>
      <c r="S18" s="26">
        <f>D18</f>
        <v>46082</v>
      </c>
      <c r="U18" s="23" t="s">
        <v>35</v>
      </c>
      <c r="V18" s="24">
        <f>급여대장!B13</f>
        <v>0</v>
      </c>
      <c r="W18" s="25" t="s">
        <v>36</v>
      </c>
      <c r="X18" s="26">
        <f>D18</f>
        <v>46082</v>
      </c>
    </row>
    <row r="19" spans="1:24" ht="30" customHeight="1" x14ac:dyDescent="0.15">
      <c r="A19" s="23" t="s">
        <v>37</v>
      </c>
      <c r="B19" s="24" t="s">
        <v>38</v>
      </c>
      <c r="C19" s="25" t="s">
        <v>52</v>
      </c>
      <c r="D19" s="27"/>
      <c r="F19" s="23" t="s">
        <v>37</v>
      </c>
      <c r="G19" s="24" t="s">
        <v>38</v>
      </c>
      <c r="H19" s="25" t="s">
        <v>52</v>
      </c>
      <c r="I19" s="27"/>
      <c r="K19" s="23" t="s">
        <v>37</v>
      </c>
      <c r="L19" s="24" t="s">
        <v>38</v>
      </c>
      <c r="M19" s="25" t="s">
        <v>52</v>
      </c>
      <c r="N19" s="27"/>
      <c r="P19" s="23" t="s">
        <v>37</v>
      </c>
      <c r="Q19" s="24" t="s">
        <v>38</v>
      </c>
      <c r="R19" s="25" t="s">
        <v>52</v>
      </c>
      <c r="S19" s="27"/>
      <c r="U19" s="23" t="s">
        <v>37</v>
      </c>
      <c r="V19" s="24" t="s">
        <v>38</v>
      </c>
      <c r="W19" s="25" t="s">
        <v>52</v>
      </c>
      <c r="X19" s="27"/>
    </row>
    <row r="20" spans="1:24" ht="30" customHeight="1" x14ac:dyDescent="0.15">
      <c r="A20" s="28"/>
      <c r="B20" s="29"/>
      <c r="D20" s="30"/>
      <c r="F20" s="28"/>
      <c r="G20" s="29"/>
      <c r="I20" s="30"/>
      <c r="K20" s="28"/>
      <c r="L20" s="29"/>
      <c r="N20" s="30"/>
      <c r="P20" s="28"/>
      <c r="Q20" s="29"/>
      <c r="S20" s="30"/>
      <c r="U20" s="28"/>
      <c r="V20" s="29"/>
      <c r="X20" s="30"/>
    </row>
    <row r="21" spans="1:24" ht="30" customHeight="1" x14ac:dyDescent="0.15">
      <c r="A21" s="31" t="s">
        <v>39</v>
      </c>
      <c r="B21" s="24"/>
      <c r="C21" s="24" t="s">
        <v>40</v>
      </c>
      <c r="D21" s="27"/>
      <c r="F21" s="31" t="s">
        <v>39</v>
      </c>
      <c r="G21" s="24"/>
      <c r="H21" s="24" t="s">
        <v>40</v>
      </c>
      <c r="I21" s="27"/>
      <c r="K21" s="31" t="s">
        <v>39</v>
      </c>
      <c r="L21" s="24"/>
      <c r="M21" s="24" t="s">
        <v>40</v>
      </c>
      <c r="N21" s="27"/>
      <c r="P21" s="31" t="s">
        <v>39</v>
      </c>
      <c r="Q21" s="24"/>
      <c r="R21" s="24" t="s">
        <v>40</v>
      </c>
      <c r="S21" s="27"/>
      <c r="U21" s="31" t="s">
        <v>39</v>
      </c>
      <c r="V21" s="24"/>
      <c r="W21" s="24" t="s">
        <v>40</v>
      </c>
      <c r="X21" s="27"/>
    </row>
    <row r="22" spans="1:24" ht="30" customHeight="1" x14ac:dyDescent="0.15">
      <c r="A22" s="23" t="s">
        <v>41</v>
      </c>
      <c r="B22" s="32">
        <f>급여대장!E9</f>
        <v>0</v>
      </c>
      <c r="C22" s="25" t="s">
        <v>42</v>
      </c>
      <c r="D22" s="33">
        <f>급여대장!H9</f>
        <v>0</v>
      </c>
      <c r="F22" s="23" t="s">
        <v>41</v>
      </c>
      <c r="G22" s="32">
        <f>급여대장!E10</f>
        <v>0</v>
      </c>
      <c r="H22" s="25" t="s">
        <v>42</v>
      </c>
      <c r="I22" s="33">
        <f>급여대장!H10</f>
        <v>0</v>
      </c>
      <c r="K22" s="23" t="s">
        <v>41</v>
      </c>
      <c r="L22" s="32">
        <f>급여대장!E11</f>
        <v>0</v>
      </c>
      <c r="M22" s="25" t="s">
        <v>42</v>
      </c>
      <c r="N22" s="33">
        <f>급여대장!H11</f>
        <v>0</v>
      </c>
      <c r="P22" s="23" t="s">
        <v>41</v>
      </c>
      <c r="Q22" s="32">
        <f>급여대장!E12</f>
        <v>0</v>
      </c>
      <c r="R22" s="25" t="s">
        <v>42</v>
      </c>
      <c r="S22" s="33">
        <f>급여대장!H12</f>
        <v>0</v>
      </c>
      <c r="U22" s="23" t="s">
        <v>41</v>
      </c>
      <c r="V22" s="32">
        <f>급여대장!E13</f>
        <v>0</v>
      </c>
      <c r="W22" s="25" t="s">
        <v>42</v>
      </c>
      <c r="X22" s="33">
        <f>급여대장!H13</f>
        <v>0</v>
      </c>
    </row>
    <row r="23" spans="1:24" ht="30" customHeight="1" x14ac:dyDescent="0.15">
      <c r="A23" s="23" t="s">
        <v>43</v>
      </c>
      <c r="B23" s="32">
        <f>급여대장!F9</f>
        <v>0</v>
      </c>
      <c r="C23" s="25" t="s">
        <v>44</v>
      </c>
      <c r="D23" s="33">
        <f>급여대장!I9</f>
        <v>0</v>
      </c>
      <c r="F23" s="23" t="s">
        <v>43</v>
      </c>
      <c r="G23" s="32">
        <f>급여대장!F10</f>
        <v>0</v>
      </c>
      <c r="H23" s="25" t="s">
        <v>44</v>
      </c>
      <c r="I23" s="33">
        <f>급여대장!I10</f>
        <v>0</v>
      </c>
      <c r="K23" s="23" t="s">
        <v>43</v>
      </c>
      <c r="L23" s="32">
        <f>급여대장!F11</f>
        <v>0</v>
      </c>
      <c r="M23" s="25" t="s">
        <v>44</v>
      </c>
      <c r="N23" s="33">
        <f>급여대장!I11</f>
        <v>0</v>
      </c>
      <c r="P23" s="23" t="s">
        <v>43</v>
      </c>
      <c r="Q23" s="32">
        <f>급여대장!F12</f>
        <v>0</v>
      </c>
      <c r="R23" s="25" t="s">
        <v>44</v>
      </c>
      <c r="S23" s="33">
        <f>급여대장!I12</f>
        <v>0</v>
      </c>
      <c r="U23" s="23" t="s">
        <v>43</v>
      </c>
      <c r="V23" s="32">
        <f>급여대장!F13</f>
        <v>0</v>
      </c>
      <c r="W23" s="25" t="s">
        <v>44</v>
      </c>
      <c r="X23" s="33">
        <f>급여대장!I13</f>
        <v>0</v>
      </c>
    </row>
    <row r="24" spans="1:24" ht="30" customHeight="1" x14ac:dyDescent="0.15">
      <c r="A24" s="23" t="s">
        <v>45</v>
      </c>
      <c r="B24" s="24"/>
      <c r="C24" s="25" t="s">
        <v>46</v>
      </c>
      <c r="D24" s="33">
        <f>급여대장!J9</f>
        <v>0</v>
      </c>
      <c r="F24" s="23" t="s">
        <v>45</v>
      </c>
      <c r="G24" s="24"/>
      <c r="H24" s="25" t="s">
        <v>46</v>
      </c>
      <c r="I24" s="33">
        <f>급여대장!J10</f>
        <v>0</v>
      </c>
      <c r="K24" s="23" t="s">
        <v>45</v>
      </c>
      <c r="L24" s="24"/>
      <c r="M24" s="25" t="s">
        <v>46</v>
      </c>
      <c r="N24" s="33">
        <f>급여대장!J11</f>
        <v>0</v>
      </c>
      <c r="P24" s="23" t="s">
        <v>45</v>
      </c>
      <c r="Q24" s="24"/>
      <c r="R24" s="25" t="s">
        <v>46</v>
      </c>
      <c r="S24" s="33">
        <f>급여대장!J12</f>
        <v>0</v>
      </c>
      <c r="U24" s="23" t="s">
        <v>45</v>
      </c>
      <c r="V24" s="24"/>
      <c r="W24" s="25" t="s">
        <v>46</v>
      </c>
      <c r="X24" s="33">
        <f>급여대장!J13</f>
        <v>0</v>
      </c>
    </row>
    <row r="25" spans="1:24" ht="30" customHeight="1" x14ac:dyDescent="0.15">
      <c r="A25" s="31"/>
      <c r="B25" s="24"/>
      <c r="C25" s="25" t="s">
        <v>47</v>
      </c>
      <c r="D25" s="33">
        <f>급여대장!K9</f>
        <v>0</v>
      </c>
      <c r="F25" s="31"/>
      <c r="G25" s="24"/>
      <c r="H25" s="25" t="s">
        <v>47</v>
      </c>
      <c r="I25" s="33">
        <f>급여대장!K10</f>
        <v>0</v>
      </c>
      <c r="K25" s="31"/>
      <c r="L25" s="24"/>
      <c r="M25" s="25" t="s">
        <v>47</v>
      </c>
      <c r="N25" s="33">
        <f>급여대장!K11</f>
        <v>0</v>
      </c>
      <c r="P25" s="31"/>
      <c r="Q25" s="24"/>
      <c r="R25" s="25" t="s">
        <v>47</v>
      </c>
      <c r="S25" s="33">
        <f>급여대장!K12</f>
        <v>0</v>
      </c>
      <c r="U25" s="31"/>
      <c r="V25" s="24"/>
      <c r="W25" s="25" t="s">
        <v>47</v>
      </c>
      <c r="X25" s="33">
        <f>급여대장!K13</f>
        <v>0</v>
      </c>
    </row>
    <row r="26" spans="1:24" ht="30" customHeight="1" x14ac:dyDescent="0.15">
      <c r="A26" s="23" t="s">
        <v>48</v>
      </c>
      <c r="B26" s="32">
        <f>급여대장!G9</f>
        <v>0</v>
      </c>
      <c r="C26" s="25" t="s">
        <v>49</v>
      </c>
      <c r="D26" s="33">
        <f>급여대장!L9</f>
        <v>0</v>
      </c>
      <c r="F26" s="23" t="s">
        <v>48</v>
      </c>
      <c r="G26" s="32">
        <f>급여대장!G10</f>
        <v>0</v>
      </c>
      <c r="H26" s="25" t="s">
        <v>49</v>
      </c>
      <c r="I26" s="33">
        <f>급여대장!L10</f>
        <v>0</v>
      </c>
      <c r="K26" s="23" t="s">
        <v>48</v>
      </c>
      <c r="L26" s="32">
        <f>급여대장!G11</f>
        <v>0</v>
      </c>
      <c r="M26" s="25" t="s">
        <v>49</v>
      </c>
      <c r="N26" s="33">
        <f>급여대장!L11</f>
        <v>0</v>
      </c>
      <c r="P26" s="23" t="s">
        <v>48</v>
      </c>
      <c r="Q26" s="32">
        <f>급여대장!G12</f>
        <v>0</v>
      </c>
      <c r="R26" s="25" t="s">
        <v>49</v>
      </c>
      <c r="S26" s="33">
        <f>급여대장!L12</f>
        <v>0</v>
      </c>
      <c r="U26" s="23" t="s">
        <v>48</v>
      </c>
      <c r="V26" s="32">
        <f>급여대장!G13</f>
        <v>0</v>
      </c>
      <c r="W26" s="25" t="s">
        <v>49</v>
      </c>
      <c r="X26" s="33">
        <f>급여대장!L13</f>
        <v>0</v>
      </c>
    </row>
    <row r="27" spans="1:24" ht="30" customHeight="1" x14ac:dyDescent="0.15">
      <c r="A27" s="31"/>
      <c r="B27" s="24"/>
      <c r="C27" s="24"/>
      <c r="D27" s="33"/>
      <c r="F27" s="31"/>
      <c r="G27" s="24"/>
      <c r="H27" s="24"/>
      <c r="I27" s="33"/>
      <c r="K27" s="31"/>
      <c r="L27" s="24"/>
      <c r="M27" s="24"/>
      <c r="N27" s="33"/>
      <c r="P27" s="31"/>
      <c r="Q27" s="24"/>
      <c r="R27" s="24"/>
      <c r="S27" s="33"/>
      <c r="U27" s="31"/>
      <c r="V27" s="24"/>
      <c r="W27" s="24"/>
      <c r="X27" s="33"/>
    </row>
    <row r="28" spans="1:24" ht="30" customHeight="1" x14ac:dyDescent="0.15">
      <c r="A28" s="31" t="s">
        <v>50</v>
      </c>
      <c r="B28" s="152">
        <f>급여대장!M9</f>
        <v>0</v>
      </c>
      <c r="C28" s="153"/>
      <c r="D28" s="154"/>
      <c r="F28" s="31" t="s">
        <v>50</v>
      </c>
      <c r="G28" s="152">
        <f>급여대장!M10</f>
        <v>0</v>
      </c>
      <c r="H28" s="153"/>
      <c r="I28" s="154"/>
      <c r="K28" s="31" t="s">
        <v>50</v>
      </c>
      <c r="L28" s="152">
        <f>급여대장!M11</f>
        <v>0</v>
      </c>
      <c r="M28" s="153"/>
      <c r="N28" s="154"/>
      <c r="P28" s="31" t="s">
        <v>50</v>
      </c>
      <c r="Q28" s="152">
        <f>급여대장!M12</f>
        <v>0</v>
      </c>
      <c r="R28" s="153"/>
      <c r="S28" s="154"/>
      <c r="U28" s="31" t="s">
        <v>50</v>
      </c>
      <c r="V28" s="152">
        <f>급여대장!M13</f>
        <v>0</v>
      </c>
      <c r="W28" s="153"/>
      <c r="X28" s="154"/>
    </row>
    <row r="29" spans="1:24" ht="30" customHeight="1" x14ac:dyDescent="0.15">
      <c r="A29" s="31"/>
      <c r="B29" s="24"/>
      <c r="C29" s="24"/>
      <c r="D29" s="27"/>
      <c r="F29" s="31"/>
      <c r="G29" s="24"/>
      <c r="H29" s="24"/>
      <c r="I29" s="27"/>
      <c r="K29" s="31"/>
      <c r="L29" s="24"/>
      <c r="M29" s="24"/>
      <c r="N29" s="27"/>
      <c r="P29" s="31"/>
      <c r="Q29" s="24"/>
      <c r="R29" s="24"/>
      <c r="S29" s="27"/>
      <c r="U29" s="31"/>
      <c r="V29" s="24"/>
      <c r="W29" s="24"/>
      <c r="X29" s="27"/>
    </row>
    <row r="30" spans="1:24" ht="30" customHeight="1" thickBot="1" x14ac:dyDescent="0.2">
      <c r="A30" s="146" t="s">
        <v>53</v>
      </c>
      <c r="B30" s="147"/>
      <c r="C30" s="147"/>
      <c r="D30" s="148"/>
      <c r="F30" s="146" t="s">
        <v>54</v>
      </c>
      <c r="G30" s="147"/>
      <c r="H30" s="147"/>
      <c r="I30" s="148"/>
      <c r="K30" s="146" t="s">
        <v>54</v>
      </c>
      <c r="L30" s="147"/>
      <c r="M30" s="147"/>
      <c r="N30" s="148"/>
      <c r="P30" s="146" t="s">
        <v>55</v>
      </c>
      <c r="Q30" s="147"/>
      <c r="R30" s="147"/>
      <c r="S30" s="148"/>
      <c r="U30" s="146" t="s">
        <v>54</v>
      </c>
      <c r="V30" s="147"/>
      <c r="W30" s="147"/>
      <c r="X30" s="148"/>
    </row>
  </sheetData>
  <mergeCells count="30">
    <mergeCell ref="B28:D28"/>
    <mergeCell ref="G28:I28"/>
    <mergeCell ref="L28:N28"/>
    <mergeCell ref="Q28:S28"/>
    <mergeCell ref="V28:X28"/>
    <mergeCell ref="A30:D30"/>
    <mergeCell ref="F30:I30"/>
    <mergeCell ref="K30:N30"/>
    <mergeCell ref="P30:S30"/>
    <mergeCell ref="U30:X30"/>
    <mergeCell ref="A17:D17"/>
    <mergeCell ref="F17:I17"/>
    <mergeCell ref="K17:N17"/>
    <mergeCell ref="P17:S17"/>
    <mergeCell ref="U17:X17"/>
    <mergeCell ref="A14:D14"/>
    <mergeCell ref="F1:I1"/>
    <mergeCell ref="G12:I12"/>
    <mergeCell ref="F14:I14"/>
    <mergeCell ref="U1:X1"/>
    <mergeCell ref="V12:X12"/>
    <mergeCell ref="U14:X14"/>
    <mergeCell ref="K1:N1"/>
    <mergeCell ref="L12:N12"/>
    <mergeCell ref="K14:N14"/>
    <mergeCell ref="P1:S1"/>
    <mergeCell ref="Q12:S12"/>
    <mergeCell ref="P14:S14"/>
    <mergeCell ref="A1:D1"/>
    <mergeCell ref="B12:D1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1</vt:i4>
      </vt:variant>
    </vt:vector>
  </HeadingPairs>
  <TitlesOfParts>
    <vt:vector size="6" baseType="lpstr">
      <vt:lpstr>근무표(입력)</vt:lpstr>
      <vt:lpstr>근무표(개인별종합)</vt:lpstr>
      <vt:lpstr>주휴수당 상세 검증</vt:lpstr>
      <vt:lpstr>급여대장</vt:lpstr>
      <vt:lpstr>급여명세서</vt:lpstr>
      <vt:lpstr>급여대장!Print_Area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남기원</cp:lastModifiedBy>
  <cp:lastPrinted>2026-01-23T07:07:19Z</cp:lastPrinted>
  <dcterms:created xsi:type="dcterms:W3CDTF">2026-01-23T04:40:17Z</dcterms:created>
  <dcterms:modified xsi:type="dcterms:W3CDTF">2026-02-02T06:03:48Z</dcterms:modified>
</cp:coreProperties>
</file>